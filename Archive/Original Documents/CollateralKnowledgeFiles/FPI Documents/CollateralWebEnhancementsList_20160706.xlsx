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45" windowWidth="18195" windowHeight="11760"/>
  </bookViews>
  <sheets>
    <sheet name="Sheet1" sheetId="2" r:id="rId1"/>
    <sheet name="RatingLookup" sheetId="3" r:id="rId2"/>
  </sheets>
  <definedNames>
    <definedName name="_xlnm._FilterDatabase" localSheetId="0" hidden="1">Sheet1!$B$1:$Z$45</definedName>
  </definedNames>
  <calcPr calcId="145621"/>
</workbook>
</file>

<file path=xl/calcChain.xml><?xml version="1.0" encoding="utf-8"?>
<calcChain xmlns="http://schemas.openxmlformats.org/spreadsheetml/2006/main">
  <c r="M28" i="2" l="1"/>
  <c r="O38" i="2"/>
  <c r="O36" i="2"/>
  <c r="O35" i="2"/>
  <c r="O37" i="2"/>
  <c r="O32" i="2"/>
  <c r="O31" i="2"/>
  <c r="O18" i="2"/>
  <c r="O17" i="2"/>
  <c r="O13" i="2"/>
  <c r="O12" i="2"/>
  <c r="O5" i="2"/>
  <c r="O4" i="2"/>
  <c r="O10" i="2"/>
  <c r="O3" i="2"/>
  <c r="O2" i="2"/>
  <c r="O16" i="2"/>
  <c r="O15" i="2"/>
  <c r="O27" i="2"/>
  <c r="O34" i="2"/>
  <c r="O30" i="2"/>
  <c r="O33" i="2"/>
  <c r="O25" i="2"/>
  <c r="O24" i="2"/>
  <c r="O9" i="2"/>
  <c r="O8" i="2"/>
  <c r="O11" i="2"/>
  <c r="O7" i="2"/>
  <c r="O14" i="2"/>
  <c r="O26" i="2"/>
  <c r="O23" i="2"/>
  <c r="O21" i="2"/>
  <c r="O20" i="2"/>
  <c r="O22" i="2"/>
  <c r="O28" i="2"/>
  <c r="O29" i="2"/>
  <c r="O6" i="2"/>
  <c r="O19" i="2"/>
  <c r="N38" i="2"/>
  <c r="N36" i="2"/>
  <c r="N35" i="2"/>
  <c r="N37" i="2"/>
  <c r="N32" i="2"/>
  <c r="N31" i="2"/>
  <c r="N18" i="2"/>
  <c r="N17" i="2"/>
  <c r="N13" i="2"/>
  <c r="N12" i="2"/>
  <c r="N5" i="2"/>
  <c r="N4" i="2"/>
  <c r="N10" i="2"/>
  <c r="N3" i="2"/>
  <c r="N2" i="2"/>
  <c r="N16" i="2"/>
  <c r="N15" i="2"/>
  <c r="N27" i="2"/>
  <c r="N34" i="2"/>
  <c r="N30" i="2"/>
  <c r="N33" i="2"/>
  <c r="N25" i="2"/>
  <c r="N24" i="2"/>
  <c r="N9" i="2"/>
  <c r="N8" i="2"/>
  <c r="N11" i="2"/>
  <c r="N7" i="2"/>
  <c r="N14" i="2"/>
  <c r="N26" i="2"/>
  <c r="N23" i="2"/>
  <c r="N21" i="2"/>
  <c r="N20" i="2"/>
  <c r="N22" i="2"/>
  <c r="N28" i="2"/>
  <c r="N29" i="2"/>
  <c r="N6" i="2"/>
  <c r="N19" i="2"/>
  <c r="M38" i="2"/>
  <c r="M36" i="2"/>
  <c r="M35" i="2"/>
  <c r="M37" i="2"/>
  <c r="M32" i="2"/>
  <c r="M31" i="2"/>
  <c r="M18" i="2"/>
  <c r="M17" i="2"/>
  <c r="M13" i="2"/>
  <c r="M12" i="2"/>
  <c r="M5" i="2"/>
  <c r="M4" i="2"/>
  <c r="M10" i="2"/>
  <c r="M3" i="2"/>
  <c r="M2" i="2"/>
  <c r="M16" i="2"/>
  <c r="M15" i="2"/>
  <c r="M27" i="2"/>
  <c r="M34" i="2"/>
  <c r="M30" i="2"/>
  <c r="M33" i="2"/>
  <c r="M25" i="2"/>
  <c r="M24" i="2"/>
  <c r="M9" i="2"/>
  <c r="M8" i="2"/>
  <c r="M11" i="2"/>
  <c r="M7" i="2"/>
  <c r="M14" i="2"/>
  <c r="M26" i="2"/>
  <c r="M23" i="2"/>
  <c r="M21" i="2"/>
  <c r="M20" i="2"/>
  <c r="M22" i="2"/>
  <c r="M29" i="2"/>
  <c r="M6" i="2"/>
  <c r="M19" i="2"/>
  <c r="L38" i="2"/>
  <c r="L36" i="2"/>
  <c r="L35" i="2"/>
  <c r="L37" i="2"/>
  <c r="L32" i="2"/>
  <c r="L31" i="2"/>
  <c r="L18" i="2"/>
  <c r="L17" i="2"/>
  <c r="L13" i="2"/>
  <c r="L12" i="2"/>
  <c r="L5" i="2"/>
  <c r="L4" i="2"/>
  <c r="L10" i="2"/>
  <c r="L3" i="2"/>
  <c r="L2" i="2"/>
  <c r="L16" i="2"/>
  <c r="L15" i="2"/>
  <c r="L27" i="2"/>
  <c r="L34" i="2"/>
  <c r="L30" i="2"/>
  <c r="L33" i="2"/>
  <c r="L25" i="2"/>
  <c r="L24" i="2"/>
  <c r="L9" i="2"/>
  <c r="L8" i="2"/>
  <c r="L11" i="2"/>
  <c r="L7" i="2"/>
  <c r="L14" i="2"/>
  <c r="L26" i="2"/>
  <c r="L23" i="2"/>
  <c r="L21" i="2"/>
  <c r="L20" i="2"/>
  <c r="L22" i="2"/>
  <c r="L28" i="2"/>
  <c r="L29" i="2"/>
  <c r="L6" i="2"/>
  <c r="L19" i="2"/>
  <c r="K38" i="2"/>
  <c r="K36" i="2"/>
  <c r="K35" i="2"/>
  <c r="K37" i="2"/>
  <c r="K32" i="2"/>
  <c r="K31" i="2"/>
  <c r="K18" i="2"/>
  <c r="K17" i="2"/>
  <c r="K13" i="2"/>
  <c r="K12" i="2"/>
  <c r="K5" i="2"/>
  <c r="K4" i="2"/>
  <c r="K10" i="2"/>
  <c r="K3" i="2"/>
  <c r="K2" i="2"/>
  <c r="K16" i="2"/>
  <c r="K15" i="2"/>
  <c r="K27" i="2"/>
  <c r="K34" i="2"/>
  <c r="K30" i="2"/>
  <c r="K33" i="2"/>
  <c r="K25" i="2"/>
  <c r="K24" i="2"/>
  <c r="K9" i="2"/>
  <c r="K8" i="2"/>
  <c r="K11" i="2"/>
  <c r="K7" i="2"/>
  <c r="K14" i="2"/>
  <c r="K26" i="2"/>
  <c r="K23" i="2"/>
  <c r="K21" i="2"/>
  <c r="K20" i="2"/>
  <c r="K22" i="2"/>
  <c r="K28" i="2"/>
  <c r="K29" i="2"/>
  <c r="K6" i="2"/>
  <c r="K19" i="2"/>
  <c r="P28" i="2" l="1"/>
  <c r="P30" i="2"/>
  <c r="P4" i="2"/>
  <c r="P38" i="2"/>
  <c r="P29" i="2"/>
  <c r="P7" i="2"/>
  <c r="P9" i="2"/>
  <c r="P33" i="2"/>
  <c r="P15" i="2"/>
  <c r="P10" i="2"/>
  <c r="P5" i="2"/>
  <c r="P17" i="2"/>
  <c r="P31" i="2"/>
  <c r="P36" i="2"/>
  <c r="P21" i="2"/>
  <c r="P23" i="2"/>
  <c r="P12" i="2"/>
  <c r="P26" i="2"/>
  <c r="P13" i="2"/>
  <c r="P37" i="2"/>
  <c r="P11" i="2"/>
  <c r="P34" i="2"/>
  <c r="P6" i="2"/>
  <c r="P20" i="2"/>
  <c r="P14" i="2"/>
  <c r="P8" i="2"/>
  <c r="P25" i="2"/>
  <c r="P27" i="2"/>
  <c r="P3" i="2"/>
  <c r="P18" i="2"/>
  <c r="P35" i="2"/>
  <c r="P24" i="2"/>
  <c r="P16" i="2"/>
  <c r="P32" i="2"/>
  <c r="P19" i="2"/>
  <c r="P2" i="2"/>
  <c r="P22" i="2"/>
</calcChain>
</file>

<file path=xl/sharedStrings.xml><?xml version="1.0" encoding="utf-8"?>
<sst xmlns="http://schemas.openxmlformats.org/spreadsheetml/2006/main" count="503" uniqueCount="172">
  <si>
    <t>Originator</t>
  </si>
  <si>
    <t>FCE</t>
  </si>
  <si>
    <t>YKE</t>
  </si>
  <si>
    <t>AgC</t>
  </si>
  <si>
    <t>FCW</t>
  </si>
  <si>
    <t>NW</t>
  </si>
  <si>
    <t>Requestor Priority</t>
  </si>
  <si>
    <t>Description</t>
  </si>
  <si>
    <t>Business Need</t>
  </si>
  <si>
    <t>Comments</t>
  </si>
  <si>
    <t>Interested Associations</t>
  </si>
  <si>
    <t>Size</t>
  </si>
  <si>
    <t>FPI Resource</t>
  </si>
  <si>
    <t>Solution</t>
  </si>
  <si>
    <t>ID</t>
  </si>
  <si>
    <t>Modified</t>
  </si>
  <si>
    <t>Path</t>
  </si>
  <si>
    <t>Before EmP-web</t>
  </si>
  <si>
    <t>After EmP-web</t>
  </si>
  <si>
    <t>High</t>
  </si>
  <si>
    <t>Very Large</t>
  </si>
  <si>
    <t>CW</t>
  </si>
  <si>
    <t>Workspaces/Shared/WorkPlanOC/Lists/Collateral Web Enhancements</t>
  </si>
  <si>
    <t>Withdrawn</t>
  </si>
  <si>
    <t>On Hold</t>
  </si>
  <si>
    <t>Business Need: Regulatory compliance requires we document and maintain structural flood zone information for the lifetime of applicable loans. The only way users can do this now is by entering the information in the Description field. While this does satisfy the compliance requirement, there is still a high risk of human error and we are unable to use any information in the Description field for reporting purposes. What we are seeing is without a visible field, users are forgetting to input flood zone information. Furthermore, information entered in a description field cannot pull into the Collateral Universe. A Flood Zone field tied to the Collateral Universe will enable our Business Intelligence team to generate reports with flood zone information when regulators require it. This currently would be a manual process.</t>
  </si>
  <si>
    <t>Medium</t>
  </si>
  <si>
    <t>PS</t>
  </si>
  <si>
    <t>Config Only</t>
  </si>
  <si>
    <t>Northwest</t>
  </si>
  <si>
    <t>Minor</t>
  </si>
  <si>
    <t>This came up to be in a training in Seattle Fisheries; however, the credit officer who made this suggestion is no longer at Northwest. I haven’t heard it elsewhere so it’s probably a low priority.</t>
  </si>
  <si>
    <t>This would help ensure that UCC's are properly recorded when necessary</t>
  </si>
  <si>
    <t>Farm Credit West</t>
  </si>
  <si>
    <t>Large</t>
  </si>
  <si>
    <t>INC0154939</t>
  </si>
  <si>
    <t>Prod Support Clean Up Script</t>
  </si>
  <si>
    <t>INC0159057</t>
  </si>
  <si>
    <t>INC0157904</t>
  </si>
  <si>
    <t>INC0159065, INC0158903</t>
  </si>
  <si>
    <t>INC0156604</t>
  </si>
  <si>
    <t xml:space="preserve"> INC0156420</t>
  </si>
  <si>
    <t>Low</t>
  </si>
  <si>
    <t>Farm Credit East</t>
  </si>
  <si>
    <t>On the tax parcel information panel within real estate collateral detail, it would be beneficial to be able to add additional parcels as there are often times when a property consists of more than one tax parcel. This is triggered by monitored loans. Being able to add another parcel ID would require new information for each box showing on the screen - ie. owner, state, county, etc.</t>
  </si>
  <si>
    <t>Bug Fix</t>
  </si>
  <si>
    <t>Business Need: The current process is time consuming and leads to errors when the data is reverted to its original state. The ability to refresh saves times, improves usability and mitigates the risk of bad data saved to the database.</t>
  </si>
  <si>
    <t xml:space="preserve">
​When a system scope is being updated via Collateral or Loan Action Loan Amounts, don’t surpress calcs of LTV or LGD for the entire system scope of Loans, so if LTV ratio changes then any loans will push through as autobook.  This auto functionality will be controlled by a new Assoc Parm so that an Assoc can turn this off if they dont want it to, and have CW work as it does now.</t>
  </si>
  <si>
    <t>Business Need: When the loan balance is paid down, percentages in Collateral Web update, but the LDG in Credit Underwriting does not. The “Mark as Read” functionality will prevent the need to change links or collateral values then changing them back to force LGD to update.</t>
  </si>
  <si>
    <t xml:space="preserve">
​Configuration only change, add a new Other Information Topic Panel. This flows all the way to MR already so no additional work.</t>
  </si>
  <si>
    <t>Business Need: Procedure is to include Income Capacity of Real Estate information in the Credit Summary; however this does not always happen. Creating this field as a Real Property collateral attribute would enable consistency in completing credit analysis, improved compliance with procedure and ease in finding the information. Note – this field would not be required as it only needs to be completed when the property value is &gt;$250k.</t>
  </si>
  <si>
    <t xml:space="preserve">
​This could all be done via Configs. Add a new Question in Check All That apply, and if checked, display a new Other Info Topic Panel to gather this info. Already flows to MR as well.</t>
  </si>
  <si>
    <t>a. Business Need: All of the Collateral Analysis process with field staff is ultimately to determine the LGD on the loan. Displaying the end result of all the ratio and security analysis will put a “bow” on the Collateral package, and give insight into when the LGD may be different than what they had intended. This will increase efficiency and decrease the frequency of previously-submitted scenarios having to be touched in CW. It should also decrease a few of the Transfer Scenario instances and Technical Amendments.
b. Need to Discuss: Would NW also want to add the LGD to the Calc Overview section as shown below, especially since a screen shot is taken of this and pasted into the current Credit Summary?</t>
  </si>
  <si>
    <t>Business Need. Analysis efficiency and loan identification. The loan # is not meaningful to most users from an identification perspective, but the account title is very meaningful since July 2013.</t>
  </si>
  <si>
    <t>Candy Casteal brought this up during our trainings, and I told her I would pass it along when the ‘window’ opened, so I’m doing that here. I can see her point. This might be a very low cost item to develop and test.
Plus, I have a standard 19” square-ish monitor. This distance is probably further for the eye to travel on the newer widescreen monitors that Northwest has, assuming people are using CW in a full screen mode in IE, which most do.</t>
  </si>
  <si>
    <t xml:space="preserve">
​Add New Link in the Scenario Drop Down called "Historic Scenarios". When clicked, open a new Modal that brings back all Historic Scenarios for this Customer and related Customers. Add Buttons to Close window or Open Historic Scenario Read Only. Submit button needs to be clickable but still read only. Non Issue for Empower Web as this is already planned.</t>
  </si>
  <si>
    <t xml:space="preserve">
​just run a data cleanup script for all existing Collateral so when we have this condition we move the owners to Summary level</t>
  </si>
  <si>
    <t xml:space="preserve">
​We can move most rules so they fire on both submit and validate, especially the ones noted.  3 rules wont work as validate scenario rules, but they only need to fire when submitting anyway.</t>
  </si>
  <si>
    <t xml:space="preserve">
​Change logic to always refresh from linked loan action for group changes when refreshing scenario or opening scenario.</t>
  </si>
  <si>
    <t xml:space="preserve">
​Once a Scenario has anything being edited in a System scope, then any other Scenarios would lock that system scope out from changes and inform the user as to why it is locked.  Would also need to prevent during the opening/linking Commitment Action to Scenario and/or creating Scenario, that if the loan is in a locked system scope then a new scenario wont be created.</t>
  </si>
  <si>
    <t xml:space="preserve">
​Always bring back UCC's tied to closed loans and show them as orphaned UCC's.  Fix the deletion issue where they get submitted even if not tied to a Sec Agree. Non issue for Empower Web as the UCC Maintenance Utility will always bring them back.</t>
  </si>
  <si>
    <t xml:space="preserve">
​Show Building Type, Description and Value as child Grid under each Detail RE record and allow only the entire buiklding to be releases. Also properly recalculate the MV improvements value.  We show them the building grid on the partial release panel and let them check the "buildings" that they want to release.  Then do a calculation to reduce the MV improvements by that amount.
If we are changing this section and pushing to MV improvements should we also add a MV vs. MV improvement fields so they can parcel the amount to release between the two (Noticed by FCE). </t>
  </si>
  <si>
    <t>Example of issue: If $5,000,000 of the Face Amount was on property with an NRV of $1,000,000 and $645,000 of face amount was on property valued at $10,0000,000 the most that could be collected is $1,645,000 which is less than the combined loan amount thus it would be limited.
Additional details in email saved under "Calculations" for EmPower Web...SLR email.</t>
  </si>
  <si>
    <t>Currently only "Overall" comments are flowing to the A &amp; R Narrative and the request is to have both the "overall" and "detail" comments flow to the A &amp; R Narrative. In addition, when AOC (Abundance of caution) is checked off NO comments flow to the A &amp; R Narrative.
1.) Request to have "Overall" and "detail" comments flow to the Appraisal Comments field in the A &amp; R Narrative
2.) Request to have "Overall" and "detail" comments flow to the Appraisal Comments field in the A &amp; R Narrative when AOC is checked off
Similar request, but for a different document: INC0144161</t>
  </si>
  <si>
    <t>Part 1.) Please have the "Overall Comments" and "Detail Comments" flow to the Collateral Evaluation Worksheet. Currently, only the "Overall Comments" are flowing to the Collateral Evaluation Worksheet and the request is to have BOTH "Overall Comments" and the "Detail Comments".
Part 2.) Please have the "Overall Comments" and "Detail Comments" flow to the Collateral Evaluation Worksheet when AOC (Abundance of Caution)
is check off. Currently, when AOC is checked off Overall and Detail comments DONOT flow to the Collateral Evaluation Worksheet.
Print Screens attached to illustrate the request.</t>
  </si>
  <si>
    <t>collateral ratios are not using peak amount like they should which forces users to override all-in loan amount. This shouldn't be necessary.</t>
  </si>
  <si>
    <t>We need a new EmPower business rule to check buildings at the summary (overall) or detail level to make sure required information is completed when there are buildings. This is similar to the rule for appraisal information that is being updated</t>
  </si>
  <si>
    <t xml:space="preserve">
​This is a new rule to fire on A&amp;D for FCE, not part of Collateral Web</t>
  </si>
  <si>
    <t>Need ability to set BR for RE collateral only to verify appraisal information and other reporting info has been completed.</t>
  </si>
  <si>
    <t xml:space="preserve">
​This is a bug fix for a rule in EMPOWER to fire for FCE, not part of Collatreal Web</t>
  </si>
  <si>
    <t>Goal is to reduce the number of multiple collateral scenarios. It is probably infrequent that staff would want to create multiple scenarios for the same group of loans. Would like a warning if possible. It is one of the enhancement discussed in the attached email.</t>
  </si>
  <si>
    <t xml:space="preserve">This is how I understand the lock in Collateral Web. When entering collateral web it defaults to current production. It is not until you change to a different scenario that the lock message appears (see Ryan’s email below for testing he did). The message fades away.
Request is to make the lock work more like Credit Pro…See Kate’s email. Should get the lock message as soon as you enter the customer and have user click to continue.
</t>
  </si>
  <si>
    <t>see attached. 
SLR - Link prior liens in Credit Pro and import to collateral web.</t>
  </si>
  <si>
    <t>Refresh Button on Existing Loans : Description: Add a refresh button on existing loans in Collateral Web to allow the program to recalculate the LTV ratio and LGD. Currently, users have to trick the system to trigger a recalc. Users need to change something in a scenario, close and reopen the scenario, then revert whatever was changed to its original state.</t>
  </si>
  <si>
    <t>AgC Comments: Similar to AgC # 3, but need to be sure we're solving for the same issue.
NW - Agreed need to have this one.  This is the NW #1 highest priority and impacting our audits and the grades the loans are receiving.  In one of our 4 states we've had 25 audit observations that resulted in 13 loans getting a lower grade.
FCW - This item and item #2 and LGD item from AgC are essentially asking for the same thing.  FCW agrees, its cumbersome to "dirty" the screen to trigger update LGD to occur.  The AgC item is in line with the FCW need to update loans as they are paid down.  Let's looks to combine these  requests.
FCE - We were not aware of the issue but if it works like explained than agree it is needed and would make sense to force updates to related loans through synchronization action.
YKE: If changes in loan to value and LGD are solely due to amortization, we should be handling this outside of the Collateral App.</t>
  </si>
  <si>
    <t>“Mark as Read” Indicator: Description: Create a “Mark as Read” checkbox or button for collateral types and security documents that triggers information to pass through Credit Underwriting, updating LGD where appropriate.</t>
  </si>
  <si>
    <t>AgC Comments: Similar to AgC # 3, but need to be sure we're solving for the same issue.
NW - If the #1 item is corrected it will solve this issue.
FCW - Agreed.  If #1 is solved, this is as well.
FCE - Same opinion as NW and FCW.</t>
  </si>
  <si>
    <t>‘Flood Zone’ Field in Real Property Smart Data Wizard Description: Add a Flood Zone field to the Buildings and Improvements panel for Real Property collateral. This field is net-new.</t>
  </si>
  <si>
    <t>NW - Agreed need to have this one due to compliance requirements.  This is for the FEMA indicator and there is not a place for it currently.
YKE: review your configurations as this field is available at both the Summary and Detail level for Yankee when you check the All that Apply box. The Buildings panel has the Flood Haz fields. Unless what you are looking for is the actual Flood Zone indicator itself (value from a map)
FCW - We are reviewing this internally to determine how this needs to be captured.  We don't use the Buildings panel, but (per Yankee) should look into this, as it would be nice for reporting.
FCE - We don't see a need for this at FCE, we simply track whether or not insurance is required at this point.  We use the "in flood zone" indicator on the building tab.</t>
  </si>
  <si>
    <t>Income Capacity of Real Estate Option in Real Property Smart Data Wizard Description: Add an attribute in the Real Property smart data wizard to input Income Capacity of Real Estate information for loans secured by property &gt;$250k. At Northwest FCS, if a loan is &gt;$250k and includes real property collateral, the normalized income capacity must be identified for that piece of real estate. We compare normalized income capacity to the required debt service of the loans secured to the property to determine whether the property itself has adequate income potential to service the debt or whether the borrower would need to rely on other sources for repayment.</t>
  </si>
  <si>
    <t>AgC Comments: This was on the original CW requirements list as #41, Build ML DCR calculator. All assocations do a variation of this, but AgCountry agreed to engage our Custom Solutions Group to develop a solution for AgCountry. (BT)
NW- The field would be needed when the loan amount is &gt; $250k not the property value. The attribute could read: If loans is great than $250K complete income capacity of real estate comments.
YKE: We are doing this now completely outside of any FPI provided system (in Excel). Then post to ECB. Not efficient and not available in anyway for reporting. This is a great suggestion.
FCW - We added in a Acres, Income, Debt Service area on all of our RE icons in Web.  Not sure this is what is needed but that is how FCW handles accounting for the Income on the property.  Staff completes information outside of Collateral Web and inputs into Narrative as well as Web.
FCE - We do not handle it this way.</t>
  </si>
  <si>
    <t>Add a new column to the Quick Loan Analysis grid on the Collateral View Display the current LGD in a new column, to the far right, next to the L/NRV% (which is called LTV in EMPOWER LOS) that determines LGD. Make sure the LGD is displaying the “live” data from any (re)calculation that just happened in EmPOWER LOS.</t>
  </si>
  <si>
    <t>NW - Agreed.
FCW-Our staff are aware of the thresholds for LGD so this is not an issue.  Even if you have submitted a scenario and notice the LGD is not what you expected, you are able to adjust your submitted scenarios and re submit data back to Empower.  I do not see how this would help with transfer scenario instances?
FCE - Not sure this is needed .  FCE calculates LGD on CU screen in LOS, can be overridden.  Might be a consideration with Empower Web if this becomes the place LGD is calculated.</t>
  </si>
  <si>
    <t>Add another new column in the Quick Loan Analysis grid, called “Account Title” Simply display the Account Title that is also on each green loan icon. This makes it much easier to identify which loan is which for the user. I would place it to the right of either the existing Loan # or the Type, but we can let NW decide if this gets approved. Alternatively, if there is a configurable option to change the hyperlink blue Loan # to instead be the Account Title (not adding a new column), this would work as well.</t>
  </si>
  <si>
    <t>NW - GMM - ANYWHERE that the Loan number shows it would be great if we could add account title.
Agreed. Most staff know the loans by account title not account number.
FCW-We dealt with this in the first build of CW.  There is just not enough room on the Loan icons for this information.  We included it on the back side of the Loan icons, that is association configurable.  Its a nice to have to have it added to the Quick Loan Analysis area, but it is listed in the Calc Overview modal.   Would like to see how much work it entails...</t>
  </si>
  <si>
    <t>UI: Color scheme in Collateral Web Color scheme is difficult/impossible to see the red lines that need to be cleaned up for color blind people</t>
  </si>
  <si>
    <t>NW -Not priority to me. Depending on what you do it could change it for someone else.
FCW-Not a Priority at FCW.  Before we went live at FCW in August of 2014, a usability group analyzed Collateral web and actually enhanced many icons, colors etc.  to make it easier on the eyes.  You have the ability to make the background blank, which helps view the red/dotted lines.  Use of filters also helps. 
FCE - Not a priority for us.</t>
  </si>
  <si>
    <t>UI: Justification misalignment of numeric fields vs. alpha fields Justification misalignment of numeric fields vs. alpha fields slows down the user and makes the screens harder to fill out. Move everything to be right aligned.</t>
  </si>
  <si>
    <t>NW - Not priority to me. Depends on the cost/time.
FCW-Not a priority at FCW
FCE - Not a priority</t>
  </si>
  <si>
    <t>UCC Error Message The error message that says a UCC is required fires for Chattels but sometimes UCC’s are also required on RE when there are fixtures. It would be great if the error was enhanced so that if fixtures like Irrigation Equipment or Permanent Plantings were included in the RE collateral then the error would fire for those as well. Today it never fires for RE even though a UCC might actually be required.</t>
  </si>
  <si>
    <t>NW - Please discuss with Rachel Swanson and Michelle Ferrara. I know I asked about this during testing and after roll-out. They had reasonings on why the business rules are set the way they are.
YKE: can this be a Config change?
FCW-Not a priority at FCW.  Different business rules than we use....
FCE - Not a priority</t>
  </si>
  <si>
    <t>Real Property collateral type:  the overall # of acres field should sum the # of acres field for each detail.  Currently this does not happen and a soft error fires when validated to input the # of acres.</t>
  </si>
  <si>
    <t>YKE: nice to have if this rolled up for stress testing and reporting total acres.
FCW - Nice to have.  Not a priority.
FCE - Agree this should happen.  Not a high priority as FCE usually does not use multiple rows for RE Collateral</t>
  </si>
  <si>
    <t>When completing a Partial Release – if someone submits the action multiple times to EmPOWER, Collateral Web is recording the history for each submit.  The collateral web should only keep the last submitted information based on when action is booked.</t>
  </si>
  <si>
    <t>YKE: we think the issue here is legitimate as the business need is to "propose" a release and produce documents, then book when approved. It would be nice to have a way to stage or propose a PR before an actual approval. 
FCW - Need a demo to fully understand request.
FCE - Sounds logical.  FCE does not use P/R function much so not a high priority</t>
  </si>
  <si>
    <t>What about getting NRV Deduction field on the list? I have no idea what kind of work it would require on the backend to get it added, but I think the Customer Solutions team would appreciate knowing it is being considered as an enhancement.</t>
  </si>
  <si>
    <t>FCW - Need a demo to fully understand request.  NRV calcs are in the calculations overview modal.</t>
  </si>
  <si>
    <t>When you import Inventory/Growing Crops (not sure of other COA) it imports the “Commodity” field into the description line in collateral web instead of the “Description” field from Credit Pro.  It does import the “description” field into the comments field in web but when looking in web or the COLA you could have multiple detailed items named “wheat”.  Should be winter wheat and spring wheat.</t>
  </si>
  <si>
    <t>FCW-Has not been brought up as an issue with our staff.  Low priority for us.
FCE - Not a high priority but would have to see to better understand</t>
  </si>
  <si>
    <t>Autobook – The checkbox is being missed by staff and actions end up not being booked in LOS.  Need a way to signify that it will not be booked without the box checked  (or possibly come up with a new action name that is only used for AutoBook actions that will be autobooked without a box checked).  At the least, need a warning the Autobook box was not checked.</t>
  </si>
  <si>
    <t>Business need: The ability to Autobook feature added in for collateral remaining was an enhancement to the original collateral app. It helped to bring back the sync feature. We have quite a few open actions that result in intervening actions since these remain open. We have tried to train to check the box, yet it is forgotten by the user. There is a need for a warning that the Autobook box was not checked</t>
  </si>
  <si>
    <t>AgC Comments: We catch these with an open action report; we have a regular monitoring process for unbooked actions.
NW - BRIAN: This is also a concern (actions unintentionally not being booked when the box wasn’t checked). Heidi and the Field Ops team have started sending out after-the-fact reporting on this to make sure actions aren’t sitting out there when they shouldn’t be (just looking for Collateral Update – Autobooks). They run one the LOS Activity reports in the EmPOWER sidebar to do this. I think the warning message is a good idea, but we definitely don’t want to force it. The reason? There are frequently situations where they don’t want an action to automatically go to “ready for booking” so other related loans can all be booked on the same day. In that situation, they just choose the same process definition but don’t check the box. I would spend too many chips on this one, but the benefit is there. Honestly, everything is a much lower priority than the LGD items we have discussed (and were on your list Lorrie). Insight and clarity in CW on when the LGD is being re-calc’d and when it isn’t should easily be our #1 priority from a data governance / control / audit standpoint for our field users. I view the rest as ‘gravy’, including this one.
YKE: we are not using Autobook often as we still need to print something to justify why Collateral changed for the loan NOT being serviced. If this was solely due to amortization this would be acceptable.
FCW- Warning message or business rule is all we need.  Just a friendly reminder that if you want it to book and use this functionality, check the box.
FCE - Have not used autobook and is not a high priority</t>
  </si>
  <si>
    <t>Agware – This would come into place for appraisals. Once they complete their information in that system they should be able to check what they want to flow into Collateral automatically without having to re-enter the data. This was in the original design of the Collateral App, but seems to have been lost in the process.</t>
  </si>
  <si>
    <t>Business need: In the original design of the Collateral App was a link to Agware data to populate a portion if the real estate collateral detail as it relates to the appraisal information. As we are getting into geo tagging, the population of data could also include the location of the real estate collateral. This would be a time saving feature and reduce the risk of data error by rekeying the information.</t>
  </si>
  <si>
    <t>NW-UPDATED 5/26/16 - Northwest is no longer addressing this with CSG and is adding it to the FPI work plan as a new project to consider since it is larger than just the collateral piece and is needed by all associations. This item also need to include reporting off of new business objects universes (Appraisal universe and Collateral universe), as well as, using additional functionality in AgWare Click FORMS.  BRIAN: Nothing to add to what Jacob has said already for us here. I’m unsure if FCW is aware of the additional steps that appraisers will have to take in AgWare to make the appraisal files available for importing in CW (and reportable in Business Objects). That involves uploading to a SQL database from AgWare itself. Turning the little green ‘Import’ button on in Collateral Web on the Appraisal tab in the Smart Data Wizard on Real Property is the easy part, working through all your processes of how lending staff and appraisal staff are going to manage their workflows with this – not to mention reporting – is the harder part. Appraisals coming in are often the final piece of the puzzle on the critical path of real estate deals done here at NW.
YKE: Once &amp; Done for sure!
FCE - Nice to have but not essential to operations</t>
  </si>
  <si>
    <t>History – This would be beneficial for staff to see what was completed in a previous scenario and by who. Currently the only way to do this is, is to go into Empower and try and figure out what was completed in Collateral web via Collateral Details screen.  Once EmPower is replaced by EmPower Web there is a concern the forensics of a collateral problem completed by Strategy will be lost.</t>
  </si>
  <si>
    <t>Business need: We need to have the ability to look back through historical actions to conduct forensics in EmPower Web. Currently this is used for auditing and training purposes. If this is not preserved there will be no "why" and "how" as to what happened on a collateral error.</t>
  </si>
  <si>
    <t>AgC Comments: We need to have the ability to look back through historical actions to conduct forensics, both in CW and EmP Web. We can't readily validate the data files we send to AgriBank without the history. Would want to know who booked the action, when and what it contained (similar to EmP today)
NW - BRIAN: I agree with this being valuable for us from a research / audit trail standpoint, but for me (NW) this is a lower priority than all the others on the FCW list. We have good controls for what exists and falls off for scenarios, and how data really gets committed to the database via the EmPOWER submittal process. I don’t see this as getting worse with the advent of EmPOWER Web as Brittany noted, but I’m could be missing something.
YKE: This is a data governance issue, to be dealt with holistically by Empower Web
FCW - Needs to be considered along with the development of Empower Web (that the history from the Collateral Web scenarios needs to be archived or at least reviewable -- currently scenario detail goes away when the loan is booked). 
FCE - We would use the narrative to find out what the collateral was from previous actions.  Not sure it is worth developing within CW.</t>
  </si>
  <si>
    <t>Lead owner bug Description: All converted collateral displays both a summary and detail row in Collateral Web (AgCountry seldom has multiple detail rows). Our best practice is to display all collateral at summary unless there are multiple detail rows. Subsequent to the February release, the lead owner continues to be visible at the summary level, but does not populate on the Security Agreement if the detail row is deleted.
The current workaround is to change the lead owner to a different ownership type, move to another panel to trigger a save, then return to the Owners panel and change the ownership type back. Additional steps are needed if the scenario has already been submitted. INC0154939</t>
  </si>
  <si>
    <t>Business need: Security agreements could be incorrect if staff don’t notice the missing name, particularly on a document where there are multiple signers. We’re in our busiest time of year, and staff are asking how long they’ll need to incorporate this extra step before there’s a fix.</t>
  </si>
  <si>
    <t>NW supports this going before EmPOWER web since it is a data issue that results in incorrect security agreements.  NW does not have this issue.
FCW-Not an issue at FCW.  We do not populate the Lead owner info at the security document level.  We can see how this poses an issue, especially if issue caused after a release?
FCE - Not an issue at FCE</t>
  </si>
  <si>
    <t>Business rules that fire on Apply don’t fire on Validate Description: Not all business rules that fire on Apply also fire on Validate. We use validate to correct errors before applying changes to EmPOWER; in some cases, attempting to apply changes with existing errors has cost staff hours of extra work and required FPI assistance. INC0159057.</t>
  </si>
  <si>
    <t>Business need: All business rules should fire on Validate to improve efficiency and usability.</t>
  </si>
  <si>
    <t>FCW-See your issue, our staff rarely use the validate.  They just correct as needed when trying to submit.  Low for FCW.
FCE - Sounds logical but not a priority for FCE</t>
  </si>
  <si>
    <t>Updated L/V and LGD not flowing to EmPOWER Description: Updated L/V and LGD do not flow to EmPOWER if the loan amount or other fields that affect collateral values do not change in CW. Data must be “dirtied” in CW by modifying collateral amounts, etc. to trick the system into updating values so they can be resubmitted to EmPOWER. We encounter the issue both on actions that require CW (loan origination) and actions that have no collateral impact (reamortization). In both cases, we need accurate L/V and LGD.</t>
  </si>
  <si>
    <t>Business need: Data integrity, internal and external audit issue. PWC did a deep dive into LGD’s a few years ago, and multiple processes were put in place to monitor LGD’s for accuracy. Forcing a user to put in “fake values” to trigger an update creates a significant data integrity issue.</t>
  </si>
  <si>
    <t>AgC Comments: This is similar to NW #1 and #2, but need to be sure we’re attempting to solve from the same direction. AgCountry needs L/V and LGD to be current with each credit action; NW may be looking at it from a different direction.
NW - This is the same as NW's #1 priority and we'll definitely need an all association design session on this topic.
GMM – 1 This is by far the biggest deal in my opinion and a BIG deal for NW as well.
TLD - with Gina on this one
CMC - Agreed
FCW- This is a high item for FCW.  We are looking at it from the AgC view.  We will need to clarify with the first 2 items from NW.  Again these seem similar but we need to all be on the same page in the request.
FCE - Agree with comments from NW</t>
  </si>
  <si>
    <t>Loan group changes not recognized in CW Description: CW does not appear to recognize changes to loan groups after a credit action has been linked to CW. Group errors fire in error, requiring workarounds in EmPOWER to undo the group changes, refresh CW to remove errors &amp; submit changes, then modify the group in EmPOWER. INC0157904</t>
  </si>
  <si>
    <t>Business need: Due to the business environment, we’re seeing a lot of restructuring and change in direction as RM’s work through their credit analysis. Group changes are common as guarantees are added, collateral owners changed, etc. This issue results in potential data issues, extra work, staff confusion and delayed loan closing. Any time we modify data to make something “work” we introduce risk that the data will not be corrected. When users receive these errors, they struggle, then contact the AgCountry help desk, and finally may end up with the FPI help desk before successfully booking the loan.</t>
  </si>
  <si>
    <t>NW -
GMM –I am border line between 1 and 2 for significant or minor positive impact. I haven’t tested this but think that it would be of value to NW provided it is behaving the same way. If we haven’t heard about this issue yet, we probably will in the future.
TLD - I haven't heard this. Usually when folks get a hard error about a group change, they start a GM, change the group, and link the open action to the current scenario. The few times I've heard of people doing it, it seems to work fine
CMC - Agreed, better to be proactive than reactive here.
YKE: We have not encountered this yet BUT are attempting to clean up group names. If changing a Group name caused this, we would want this improved sooner rather than later. If this is due to change in Group Members, then this also needs to be addressed soon.
FCW-Have not had issues like this at FCW.  SImilar to NW, if an error occurs, users address group issues and seems to work.  Not heard issues from our end.
FCE - Have not heard of this being an issue but agree it should recognize changes to loan groups.</t>
  </si>
  <si>
    <t>Objects “owned” by a scenario not visible to other scenarios Description: Some situations require multiple scenarios for the same customer (branch is working PCA loans while Lending Operations is working on FLCA loans; loans may be booked at different times and be at different stages). User is unable to see which objects are “owned” by which scenario; if they inadvertently make a change in an object “owned” by another scenario, CW locks up, FPI has to script out the scenario and we start over. This typically happens on complex relationships. INC0159065, INC0158903</t>
  </si>
  <si>
    <t>Business need: We have invested hours trying to trouble-shoot and correct in these situations, resulting in delayed loan closings, time spent at FPI and time spent at AgCountry to recreate the scenario. Staff frustration is high in these situations, we have to take screen prints of multiple objects &amp; panels because we’re not sure which details successfully submitted and are afraid to risk losing any data.</t>
  </si>
  <si>
    <t xml:space="preserve">AgC Comments: Similar to FCE "notify users if another scenario exists", but goes beyond a notificaiton because there are times you need multiple scenarios, but the system doesn’t manage the display so you know an object has been “spoken for” in a different scenario
FCW-We felt these pains early on when we first went live.  We learned and trained a lot to the SW group on how to always check to see if there are open scenarios, use of the history button to see, which loans are linked to each scenario.  I see the need, however feel this is a BIG request and could take a lot of bandwidth.  I will say, once our staff did it once, they learned from it and didnt do it again.   Communication is the key between departments. 
YKE: Would be nice to have the same Notification used by Credit Pro when another user is also editing the same customer
NW - 
GMM –This is a really cool idea. Today the recommendation is that if you have actions going that impact different collateral then do separate scenarios. A visual indicator of which objects are separate and can be addressed in a separate scenario would be awesome. Nice to have.
TLD - I'm not sure how the indicator would work, unless is a pop-up warning message when a link is made, but this would certainly be appreciated in WA
CMC - This is very interesting and would save a lot of headaches, especially with folks with larger scenarios.
FCE - This is the exact reason FCE would like to see only 1 scenario per system scope and is by far the frustrating thing for staff as it often ends up in a lot of lost time and work.  If have multiple loans in different system scopes then OK to have multiple scenarios for same customer as long as the scopes are not in the same collateral scenario.  If make changes to loans in different scopes within the same scenario then this should lock staff from creating a new scenario in either system scope.
</t>
  </si>
  <si>
    <t>Calculation incorrect where 1st and 2nd lien do not share the same collateral Description: In a situation where a loan in 1st position is secured by two pieces of RE and a loan in 2nd position is linked to one, the L/V and LGD calculations are incorrect. The proposed workarounds are to either add a “bogus” collateral object to force different values or to override the LGD in EmPOWER and comment on the override. INC0156604</t>
  </si>
  <si>
    <t>Business need: The user could overlook the incorrect calculations; there isn’t any warning, and it may not be obvious in all situations. We risk incorrect data if not corrected.</t>
  </si>
  <si>
    <t>AGC - put on hold until more research can be done into business process and CW.  
FCW - This seems to work for FCW. We have lenders too at FCW try to get fancy on collateral on occasion and it makes it tough to collect as they are not truly crossing a loans. The "bogus" collateral object works to get around this and works well. We are concerned tinkering with this will cause problems in calculations and could have far reaching problems. An old saying is the best time to collect the loan is when you make it. 
NW - GMM - NW has rules about crossing collateral so this should not be a big issue but for exceptions to the rule might be helpful.
YKE: we are not having this issue at all and have many such loan and collateral combinations
FCE - Most of our documents are cross collaterized and is the reason we don't use lien priority and need to rely on loan priority.  FCE wants lien priority shut off for us.</t>
  </si>
  <si>
    <t>Cannot release UCC after loan is paid off Description: AgCountry releases the UCC after the loan is paid off using a 1354 tran code. If there are no loans remaining open for the customer, FPI has to delete the UCC via script to remove it from the tracking report. If there are open loans, the user has to “trick” CW by linking the UCC to a different Security Agreement, then open the UCC modal and delete the UCC.</t>
  </si>
  <si>
    <t>Business need: Staff sometimes get confused about when they can “trick” the system and when they have to request deletion by FPI. Fundamentally, we don’t like creating data/relationships that are inaccurate if we can avoid it.</t>
  </si>
  <si>
    <t>Same as FCE row 8. (BT)
YKE: We have been told to clean these up prior to closing the loan...but this is not feasible. This is impacting operations and should be dealt with sooner rather than later.
FCW-We had this issue when we first went live.  FPI adjusted our empower sidebar report to allow it to only show Active accounts.  If the loan is paid off, the UCC info will not appear on the report.  It has been released, just not "deleted" in our system, so a "clean up item" rather than a data integrity item.  We are also using CT Liens to file our UCC's so we basically have a backup of all our UCC data through them. 
NW - The NW UCC tracking is done in relationships plans in EmPOWER.
FCE - We think that this is a time waster for FPI staff and a fix would create efficiencies for FPI and ACA staff.</t>
  </si>
  <si>
    <t>Partial release functionality does not work for building values Description: Building values cannot be adjusted using partial release functionality. INC0156420</t>
  </si>
  <si>
    <t>Business need: We don’t often take buildings, but when we need to release them we can’t use the PR functionality.</t>
  </si>
  <si>
    <t>YKE: we have not run into this yet but we would need to be able to take into account buildings being released. 
FCW-Not an issue at FCW.
FCE - Not an issue at FCE</t>
  </si>
  <si>
    <t>Not sure how to use PR functionality to release an RE object Description: We create one collateral object per RE appraisal, and some mortgages are secured by multiple objects. We aren’t sure how to use the PR functionality to track the release of an entire object, but we do need to keep track of releases so staff can easily tell that the original mortgage covers more real estate than we currently have.</t>
  </si>
  <si>
    <t>Business need: Doesn't allow the flexibility we need to match the business environment.</t>
  </si>
  <si>
    <t>NW - GMM – This seems like something NW would want as well. I know that people are doing this so visibility into what is released when an entire piece of collateral is let go would be great. Nice to have.
FCW- Nice to have.  Not a priority. 
FCE - We don't use PR Functionality much</t>
  </si>
  <si>
    <t>CW requires separate credit action for Autobook functionality Description: AgCountry originally designated our Branch Maintenance credit action to be available for autobook. We did not want to add another action and create another “decision” about which type of action to select in CW; the user would check “autobook” if applicable. However, adding the autobook designation to Branch Maintenance seemed to affect the behavior of the branch maintenance even if we didn’t check autobook, so we had to turn the functionality off.</t>
  </si>
  <si>
    <t>Business need: This was a really neat feature, but we couldn’t support adding a separate credit action to be able to use the feature. Our objective was to simplify the business process, not add another decision point, so we turned it off.</t>
  </si>
  <si>
    <t>YKE: Autobook is a great concept but we are not able to use it. Would be nice to re-think how this could be enabled, especially for loans where all that has occurred is amortization (same collateral value, just a reduce P balance)
FCW - Not an issue.
FCE - We don't use autobook</t>
  </si>
  <si>
    <t>NW -
GMM - would like more info on this one. Not sure if it is something NW would want or not.
TLD - Seconded
CMC - Agree</t>
  </si>
  <si>
    <t>FCW - Not an issue. 
FCE - Wont need this with the new narrative format so if it cant be done now, not much use in doing it.</t>
  </si>
  <si>
    <t xml:space="preserve">FCW - Not an issue.  </t>
  </si>
  <si>
    <t>YKE: we don't use this field
 </t>
  </si>
  <si>
    <t>FCW - Not an issue.  
FCE - Would help with the RE tax surveys we need to send to tax collector to verify taxes paid.</t>
  </si>
  <si>
    <t>Combined with #24
Currently FCE's process is to close the account with the xx54 tran code then later remove the UCC from the tickler system. Currently in Collateral Web once the loan is closed the UCC disappears (but remains on the UCC reports) and can only be deleted by asking FPI to run a scrip to remove it.</t>
  </si>
  <si>
    <t>NW - GMM - haven't run across this yet but makes sense.
YKE: this is a duplicate of #24
FCW - Same comment as #24 above.
FCE - This has to be a very time consuming process for FPI staff to close UCC's when requested by staff.  There should be a more efficient way.</t>
  </si>
  <si>
    <t>NW -Would be useful on loan balances when MOB/controlled above is used.
YKE: we don't use Peak
FCW-Not an issue at FCW.  Our staff uses the override feature on the majority of our PCA loans to reflect peak. 
FCE - To calculate correct LGD without the need to over ride loan amount</t>
  </si>
  <si>
    <t xml:space="preserve">YKE: we think this is a configuration
NW - Agree
FCW-Isnt this a configurable item?  </t>
  </si>
  <si>
    <t>YKE: think this is a config
NW - Agree
FCW-We have a soft error set.  Isn't this a configurable item?</t>
  </si>
  <si>
    <t>AgC Comments: Similar to our #5, provide visibility into which scenario owns which object. This could be a first step.
NW - 
GMM - This was a big issue in the beginning but support and information has helped folks to stop creating as many extra scenarios. I still see these from time to time.
TLD - Agree with Gina, however some folks are still getting into Web for the first time so i see it picking up again as we go into the summer. Seems like a nobrainer
CMC - I would agree here with both Gina and Tiago.
YKE: we don't encounter multiple scenarios often
FCW-As mentioned in the AgC request, once our staff learned and did it incorrectly, they didn't do it again.  It's a training issue and staff will get used to being aware of scenarios that are open and reviewing the history prior to opening new scenarios.
FCE - As we understand it the multiple scenario option was created to allow staff to : "play in the sandbox" and create different collateral scenarios and then select which one they want to use.  Unfortunately staff are finding themselves playing in "quicksand" and before they know it they are in too deep and need help getting pulled back out.  This has been by far the biggest hurdle for staff.  They don't understand the multiple scenarios and end up creating scenarios that can never be released so they end up losing data and having to start all over.  What should happen is the system should not allow multiple scenarios for the same scope of loans that share collateral.  An error should pop up if staff do try to create multiple scenarios.  This will greatly enhance efficiency, training time and staff frustrations with collateral web.</t>
  </si>
  <si>
    <t>NW - GMM - Consistency is what is important here in my opinion. I haven't really gotten any complaints about the locking so far.
Yankee agrees this would be nice but willing to wait for Empower Web
FCW-Not an issue at FCW.
FCE - Efficiency and to assist with multiple users working ont he same customer.</t>
  </si>
  <si>
    <t>NW -
GMM - This was asked for during training. We have all of the information for liabilities in CP just like assets. It would be cool if you could tag a liability for Collateral then match it up to the piece of collateral in the CP import modal like you do when importing assets. This value would then flow to the prior leins field automatically.
CMC - This has been mentioned several times in Idaho.
YKE: this was dreaming in color....but it would be nice as it would prevent redundant entry (reducing staff keying errors)</t>
  </si>
  <si>
    <t>Label</t>
  </si>
  <si>
    <t>Rating</t>
  </si>
  <si>
    <t>FCE Numeric Rating</t>
  </si>
  <si>
    <t>YKE Numeric Rating</t>
  </si>
  <si>
    <t>AgC Numeric Rating</t>
  </si>
  <si>
    <t>FCW Numeric Rating</t>
  </si>
  <si>
    <t>Notes</t>
  </si>
  <si>
    <t>ACA opinion of refresh is submit my data after LTV is recalculated, even if appraisal values weren't changed.
Only submit updated LGD if something changed related to calcs.
Originally calculated everything, changed this because required too much work originally to book all actions separately; this has changed, should check this out again.
Suggested solution: Everything that is getting submitted gets an updated LGD. (Example: scenario has 13 loans, but only 3 got changed, so only 3 get updated.)</t>
  </si>
  <si>
    <t>SAME AS ABOVE</t>
  </si>
  <si>
    <t>Example: Have 2 scopes, with separate scenarios, and SOMEONE goes into the wrong scenario to change the other scope that does not belong to that scenario.</t>
  </si>
  <si>
    <t>If you press the launch button in EmPOWER, this creates a new scenario and links the action (if there is not already a scenario connected to the action).
NOTE TO SELF: Can configure the number of scenarios that can be created at one time by ACA.
AgCountry likes to keep ST loans separate from LT loans.</t>
  </si>
  <si>
    <t>TFS #</t>
  </si>
  <si>
    <t>Avg Rating</t>
  </si>
  <si>
    <t>INC#</t>
  </si>
  <si>
    <t>Farm Credit East; Farm Credit West; Northwest</t>
  </si>
  <si>
    <t>Farm Credit East; Yankee; Farm Credit West; Northwest</t>
  </si>
  <si>
    <t>Farm Credit East; Yankee; Northwest</t>
  </si>
  <si>
    <t>Yankee; Northwest</t>
  </si>
  <si>
    <t>Yankee; Farm Credit West</t>
  </si>
  <si>
    <t>Farm Credit West; Northwest</t>
  </si>
  <si>
    <t>Farm Credit East; Northwest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</si>
</sst>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7">
    <xf numFmtId="0" fontId="0" fillId="0" borderId="0" xfId="0"/>
    <xf numFmtId="0" fontId="0" fillId="0" borderId="0" xfId="0" applyFill="1"/>
    <xf numFmtId="0" fontId="16" fillId="0" borderId="0" xfId="0" applyFont="1" applyFill="1"/>
    <xf numFmtId="0" fontId="16" fillId="0" borderId="0" xfId="0" applyFont="1" applyFill="1" applyAlignment="1">
      <alignment wrapText="1"/>
    </xf>
    <xf numFmtId="14" fontId="16" fillId="0" borderId="0" xfId="0" applyNumberFormat="1" applyFont="1" applyFill="1"/>
    <xf numFmtId="0" fontId="0" fillId="0" borderId="0" xfId="0" applyFill="1" applyAlignment="1">
      <alignment wrapText="1"/>
    </xf>
    <xf numFmtId="14" fontId="0" fillId="0" borderId="0" xfId="0" applyNumberForma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5"/>
  <sheetViews>
    <sheetView tabSelected="1" zoomScaleNormal="100" workbookViewId="0">
      <pane xSplit="1" ySplit="1" topLeftCell="B2" activePane="bottomRight" state="frozen"/>
      <selection pane="topRight" activeCell="B1" sqref="B1"/>
      <selection pane="bottomLeft" activeCell="A2" sqref="A2"/>
      <selection pane="bottomRight" activeCell="G49" sqref="G49"/>
    </sheetView>
  </sheetViews>
  <sheetFormatPr defaultRowHeight="15" x14ac:dyDescent="0.25"/>
  <cols>
    <col min="1" max="1" width="6" style="2" bestFit="1" customWidth="1"/>
    <col min="2" max="2" width="14.5703125" style="1" customWidth="1"/>
    <col min="3" max="3" width="9.140625" style="1"/>
    <col min="4" max="4" width="5.140625" style="1" bestFit="1" customWidth="1"/>
    <col min="5" max="9" width="9.140625" style="5"/>
    <col min="10" max="10" width="12.28515625" style="1" bestFit="1" customWidth="1"/>
    <col min="11" max="15" width="18.42578125" style="1" hidden="1" customWidth="1"/>
    <col min="16" max="16" width="12.5703125" style="1" bestFit="1" customWidth="1"/>
    <col min="17" max="17" width="9.140625" style="1"/>
    <col min="18" max="18" width="83.5703125" style="5" customWidth="1"/>
    <col min="19" max="19" width="50.7109375" style="5" customWidth="1"/>
    <col min="20" max="20" width="47.7109375" style="5" customWidth="1"/>
    <col min="21" max="21" width="11.7109375" style="1" bestFit="1" customWidth="1"/>
    <col min="22" max="22" width="78.85546875" style="5" customWidth="1"/>
    <col min="23" max="23" width="10.7109375" style="6" bestFit="1" customWidth="1"/>
    <col min="24" max="24" width="19" style="5" bestFit="1" customWidth="1"/>
    <col min="25" max="25" width="48" style="5" customWidth="1"/>
    <col min="26" max="16384" width="9.140625" style="1"/>
  </cols>
  <sheetData>
    <row r="1" spans="1:26" s="2" customFormat="1" ht="30" x14ac:dyDescent="0.25">
      <c r="A1" s="2" t="s">
        <v>162</v>
      </c>
      <c r="B1" s="2" t="s">
        <v>11</v>
      </c>
      <c r="C1" s="2" t="s">
        <v>12</v>
      </c>
      <c r="D1" s="2" t="s">
        <v>14</v>
      </c>
      <c r="E1" s="3" t="s">
        <v>1</v>
      </c>
      <c r="F1" s="3" t="s">
        <v>2</v>
      </c>
      <c r="G1" s="3" t="s">
        <v>3</v>
      </c>
      <c r="H1" s="3" t="s">
        <v>4</v>
      </c>
      <c r="I1" s="3" t="s">
        <v>5</v>
      </c>
      <c r="J1" s="2" t="s">
        <v>0</v>
      </c>
      <c r="K1" s="2" t="s">
        <v>153</v>
      </c>
      <c r="L1" s="2" t="s">
        <v>154</v>
      </c>
      <c r="M1" s="2" t="s">
        <v>155</v>
      </c>
      <c r="N1" s="2" t="s">
        <v>156</v>
      </c>
      <c r="O1" s="2" t="s">
        <v>156</v>
      </c>
      <c r="P1" s="2" t="s">
        <v>163</v>
      </c>
      <c r="Q1" s="2" t="s">
        <v>6</v>
      </c>
      <c r="R1" s="3" t="s">
        <v>7</v>
      </c>
      <c r="S1" s="3" t="s">
        <v>157</v>
      </c>
      <c r="T1" s="3" t="s">
        <v>8</v>
      </c>
      <c r="U1" s="2" t="s">
        <v>164</v>
      </c>
      <c r="V1" s="3" t="s">
        <v>9</v>
      </c>
      <c r="W1" s="4" t="s">
        <v>15</v>
      </c>
      <c r="X1" s="3" t="s">
        <v>10</v>
      </c>
      <c r="Y1" s="3" t="s">
        <v>13</v>
      </c>
      <c r="Z1" s="2" t="s">
        <v>16</v>
      </c>
    </row>
    <row r="2" spans="1:26" ht="225" x14ac:dyDescent="0.25">
      <c r="A2" s="2">
        <v>92345</v>
      </c>
      <c r="B2" s="1" t="s">
        <v>20</v>
      </c>
      <c r="C2" s="1" t="s">
        <v>21</v>
      </c>
      <c r="D2" s="1">
        <v>1</v>
      </c>
      <c r="E2" s="5" t="s">
        <v>17</v>
      </c>
      <c r="F2" s="5" t="s">
        <v>18</v>
      </c>
      <c r="G2" s="5" t="s">
        <v>17</v>
      </c>
      <c r="H2" s="5" t="s">
        <v>17</v>
      </c>
      <c r="I2" s="5" t="s">
        <v>17</v>
      </c>
      <c r="J2" s="1" t="s">
        <v>5</v>
      </c>
      <c r="K2" s="1">
        <f>VLOOKUP(E2,RatingLookup!$A$2:$B$7,2,FALSE)</f>
        <v>3</v>
      </c>
      <c r="L2" s="1">
        <f>VLOOKUP(F2,RatingLookup!$A$2:$B$7,2,FALSE)</f>
        <v>2</v>
      </c>
      <c r="M2" s="1">
        <f>VLOOKUP(G2,RatingLookup!$A$2:$B$7,2,FALSE)</f>
        <v>3</v>
      </c>
      <c r="N2" s="1">
        <f>VLOOKUP(H2,RatingLookup!$A$2:$B$7,2,FALSE)</f>
        <v>3</v>
      </c>
      <c r="O2" s="1">
        <f>VLOOKUP(I2,RatingLookup!$A$2:$B$7,2,FALSE)</f>
        <v>3</v>
      </c>
      <c r="P2" s="1">
        <f t="shared" ref="P2:P38" si="0">(AVERAGE(K2:O2))</f>
        <v>2.8</v>
      </c>
      <c r="Q2" s="1" t="s">
        <v>19</v>
      </c>
      <c r="R2" s="5" t="s">
        <v>73</v>
      </c>
      <c r="S2" s="5" t="s">
        <v>158</v>
      </c>
      <c r="T2" s="5" t="s">
        <v>46</v>
      </c>
      <c r="V2" s="5" t="s">
        <v>74</v>
      </c>
      <c r="W2" s="6">
        <v>42508.650150462963</v>
      </c>
      <c r="X2" s="5" t="s">
        <v>165</v>
      </c>
      <c r="Y2" s="5" t="s">
        <v>47</v>
      </c>
      <c r="Z2" s="1" t="s">
        <v>22</v>
      </c>
    </row>
    <row r="3" spans="1:26" ht="180" x14ac:dyDescent="0.25">
      <c r="A3" s="2">
        <v>92345</v>
      </c>
      <c r="B3" s="1" t="s">
        <v>20</v>
      </c>
      <c r="C3" s="1" t="s">
        <v>21</v>
      </c>
      <c r="D3" s="1">
        <v>20</v>
      </c>
      <c r="E3" s="5" t="s">
        <v>17</v>
      </c>
      <c r="F3" s="5" t="s">
        <v>18</v>
      </c>
      <c r="G3" s="5" t="s">
        <v>17</v>
      </c>
      <c r="H3" s="5" t="s">
        <v>17</v>
      </c>
      <c r="I3" s="5" t="s">
        <v>17</v>
      </c>
      <c r="J3" s="1" t="s">
        <v>3</v>
      </c>
      <c r="K3" s="1">
        <f>VLOOKUP(E3,RatingLookup!$A$2:$B$7,2,FALSE)</f>
        <v>3</v>
      </c>
      <c r="L3" s="1">
        <f>VLOOKUP(F3,RatingLookup!$A$2:$B$7,2,FALSE)</f>
        <v>2</v>
      </c>
      <c r="M3" s="1">
        <f>VLOOKUP(G3,RatingLookup!$A$2:$B$7,2,FALSE)</f>
        <v>3</v>
      </c>
      <c r="N3" s="1">
        <f>VLOOKUP(H3,RatingLookup!$A$2:$B$7,2,FALSE)</f>
        <v>3</v>
      </c>
      <c r="O3" s="1">
        <f>VLOOKUP(I3,RatingLookup!$A$2:$B$7,2,FALSE)</f>
        <v>3</v>
      </c>
      <c r="P3" s="1">
        <f t="shared" si="0"/>
        <v>2.8</v>
      </c>
      <c r="Q3" s="1" t="s">
        <v>19</v>
      </c>
      <c r="R3" s="5" t="s">
        <v>114</v>
      </c>
      <c r="S3" s="5" t="s">
        <v>159</v>
      </c>
      <c r="T3" s="5" t="s">
        <v>115</v>
      </c>
      <c r="V3" s="5" t="s">
        <v>116</v>
      </c>
      <c r="W3" s="6">
        <v>42508.65048611111</v>
      </c>
      <c r="X3" s="5" t="s">
        <v>166</v>
      </c>
      <c r="Y3" s="5" t="s">
        <v>47</v>
      </c>
      <c r="Z3" s="1" t="s">
        <v>22</v>
      </c>
    </row>
    <row r="4" spans="1:26" ht="180" x14ac:dyDescent="0.25">
      <c r="A4" s="1"/>
      <c r="B4" s="1" t="s">
        <v>34</v>
      </c>
      <c r="C4" s="1" t="s">
        <v>27</v>
      </c>
      <c r="D4" s="1">
        <v>24</v>
      </c>
      <c r="E4" s="5" t="s">
        <v>17</v>
      </c>
      <c r="F4" s="5" t="s">
        <v>17</v>
      </c>
      <c r="G4" s="5" t="s">
        <v>17</v>
      </c>
      <c r="H4" s="5" t="s">
        <v>18</v>
      </c>
      <c r="I4" s="5" t="s">
        <v>18</v>
      </c>
      <c r="J4" s="1" t="s">
        <v>3</v>
      </c>
      <c r="K4" s="1">
        <f>VLOOKUP(E4,RatingLookup!$A$2:$B$7,2,FALSE)</f>
        <v>3</v>
      </c>
      <c r="L4" s="1">
        <f>VLOOKUP(F4,RatingLookup!$A$2:$B$7,2,FALSE)</f>
        <v>3</v>
      </c>
      <c r="M4" s="1">
        <f>VLOOKUP(G4,RatingLookup!$A$2:$B$7,2,FALSE)</f>
        <v>3</v>
      </c>
      <c r="N4" s="1">
        <f>VLOOKUP(H4,RatingLookup!$A$2:$B$7,2,FALSE)</f>
        <v>2</v>
      </c>
      <c r="O4" s="1">
        <f>VLOOKUP(I4,RatingLookup!$A$2:$B$7,2,FALSE)</f>
        <v>2</v>
      </c>
      <c r="P4" s="1">
        <f t="shared" si="0"/>
        <v>2.6</v>
      </c>
      <c r="Q4" s="1" t="s">
        <v>26</v>
      </c>
      <c r="R4" s="5" t="s">
        <v>126</v>
      </c>
      <c r="T4" s="5" t="s">
        <v>127</v>
      </c>
      <c r="V4" s="5" t="s">
        <v>128</v>
      </c>
      <c r="W4" s="6">
        <v>42508.654814814814</v>
      </c>
      <c r="X4" s="5" t="s">
        <v>167</v>
      </c>
      <c r="Y4" s="5" t="s">
        <v>60</v>
      </c>
      <c r="Z4" s="1" t="s">
        <v>22</v>
      </c>
    </row>
    <row r="5" spans="1:26" ht="90" x14ac:dyDescent="0.25">
      <c r="A5" s="1"/>
      <c r="B5" s="1" t="s">
        <v>34</v>
      </c>
      <c r="C5" s="1" t="s">
        <v>27</v>
      </c>
      <c r="D5" s="1">
        <v>35</v>
      </c>
      <c r="E5" s="5" t="s">
        <v>17</v>
      </c>
      <c r="F5" s="5" t="s">
        <v>17</v>
      </c>
      <c r="G5" s="5" t="s">
        <v>17</v>
      </c>
      <c r="H5" s="5" t="s">
        <v>18</v>
      </c>
      <c r="I5" s="5" t="s">
        <v>18</v>
      </c>
      <c r="J5" s="1" t="s">
        <v>1</v>
      </c>
      <c r="K5" s="1">
        <f>VLOOKUP(E5,RatingLookup!$A$2:$B$7,2,FALSE)</f>
        <v>3</v>
      </c>
      <c r="L5" s="1">
        <f>VLOOKUP(F5,RatingLookup!$A$2:$B$7,2,FALSE)</f>
        <v>3</v>
      </c>
      <c r="M5" s="1">
        <f>VLOOKUP(G5,RatingLookup!$A$2:$B$7,2,FALSE)</f>
        <v>3</v>
      </c>
      <c r="N5" s="1">
        <f>VLOOKUP(H5,RatingLookup!$A$2:$B$7,2,FALSE)</f>
        <v>2</v>
      </c>
      <c r="O5" s="1">
        <f>VLOOKUP(I5,RatingLookup!$A$2:$B$7,2,FALSE)</f>
        <v>2</v>
      </c>
      <c r="P5" s="1">
        <f t="shared" si="0"/>
        <v>2.6</v>
      </c>
      <c r="Q5" s="1" t="s">
        <v>19</v>
      </c>
      <c r="R5" s="5" t="s">
        <v>143</v>
      </c>
      <c r="V5" s="5" t="s">
        <v>144</v>
      </c>
      <c r="W5" s="6">
        <v>42508.654490740744</v>
      </c>
      <c r="X5" s="5" t="s">
        <v>167</v>
      </c>
      <c r="Y5" s="5" t="s">
        <v>60</v>
      </c>
      <c r="Z5" s="1" t="s">
        <v>22</v>
      </c>
    </row>
    <row r="6" spans="1:26" ht="210" x14ac:dyDescent="0.25">
      <c r="A6" s="1"/>
      <c r="B6" s="1" t="s">
        <v>28</v>
      </c>
      <c r="C6" s="1" t="s">
        <v>27</v>
      </c>
      <c r="D6" s="1">
        <v>4</v>
      </c>
      <c r="E6" s="5" t="s">
        <v>18</v>
      </c>
      <c r="F6" s="5" t="s">
        <v>17</v>
      </c>
      <c r="G6" s="5" t="s">
        <v>18</v>
      </c>
      <c r="H6" s="5" t="s">
        <v>18</v>
      </c>
      <c r="I6" s="5" t="s">
        <v>17</v>
      </c>
      <c r="J6" s="1" t="s">
        <v>5</v>
      </c>
      <c r="K6" s="1">
        <f>VLOOKUP(E6,RatingLookup!$A$2:$B$7,2,FALSE)</f>
        <v>2</v>
      </c>
      <c r="L6" s="1">
        <f>VLOOKUP(F6,RatingLookup!$A$2:$B$7,2,FALSE)</f>
        <v>3</v>
      </c>
      <c r="M6" s="1">
        <f>VLOOKUP(G6,RatingLookup!$A$2:$B$7,2,FALSE)</f>
        <v>2</v>
      </c>
      <c r="N6" s="1">
        <f>VLOOKUP(H6,RatingLookup!$A$2:$B$7,2,FALSE)</f>
        <v>2</v>
      </c>
      <c r="O6" s="1">
        <f>VLOOKUP(I6,RatingLookup!$A$2:$B$7,2,FALSE)</f>
        <v>3</v>
      </c>
      <c r="P6" s="1">
        <f t="shared" si="0"/>
        <v>2.4</v>
      </c>
      <c r="Q6" s="1" t="s">
        <v>19</v>
      </c>
      <c r="R6" s="5" t="s">
        <v>79</v>
      </c>
      <c r="T6" s="5" t="s">
        <v>50</v>
      </c>
      <c r="V6" s="5" t="s">
        <v>80</v>
      </c>
      <c r="W6" s="6">
        <v>42508.651226851849</v>
      </c>
      <c r="X6" s="5" t="s">
        <v>168</v>
      </c>
      <c r="Y6" s="5" t="s">
        <v>51</v>
      </c>
      <c r="Z6" s="1" t="s">
        <v>22</v>
      </c>
    </row>
    <row r="7" spans="1:26" ht="240" x14ac:dyDescent="0.25">
      <c r="A7" s="1"/>
      <c r="B7" s="1" t="s">
        <v>20</v>
      </c>
      <c r="C7" s="1" t="s">
        <v>27</v>
      </c>
      <c r="D7" s="1">
        <v>16</v>
      </c>
      <c r="E7" s="5" t="s">
        <v>18</v>
      </c>
      <c r="F7" s="5" t="s">
        <v>18</v>
      </c>
      <c r="G7" s="5" t="s">
        <v>17</v>
      </c>
      <c r="H7" s="5" t="s">
        <v>17</v>
      </c>
      <c r="I7" s="5" t="s">
        <v>18</v>
      </c>
      <c r="J7" s="1" t="s">
        <v>4</v>
      </c>
      <c r="K7" s="1">
        <f>VLOOKUP(E7,RatingLookup!$A$2:$B$7,2,FALSE)</f>
        <v>2</v>
      </c>
      <c r="L7" s="1">
        <f>VLOOKUP(F7,RatingLookup!$A$2:$B$7,2,FALSE)</f>
        <v>2</v>
      </c>
      <c r="M7" s="1">
        <f>VLOOKUP(G7,RatingLookup!$A$2:$B$7,2,FALSE)</f>
        <v>3</v>
      </c>
      <c r="N7" s="1">
        <f>VLOOKUP(H7,RatingLookup!$A$2:$B$7,2,FALSE)</f>
        <v>3</v>
      </c>
      <c r="O7" s="1">
        <f>VLOOKUP(I7,RatingLookup!$A$2:$B$7,2,FALSE)</f>
        <v>2</v>
      </c>
      <c r="P7" s="1">
        <f t="shared" si="0"/>
        <v>2.4</v>
      </c>
      <c r="R7" s="5" t="s">
        <v>105</v>
      </c>
      <c r="T7" s="5" t="s">
        <v>106</v>
      </c>
      <c r="V7" s="5" t="s">
        <v>107</v>
      </c>
      <c r="W7" s="6">
        <v>42508.651666666665</v>
      </c>
      <c r="X7" s="5" t="s">
        <v>166</v>
      </c>
      <c r="Y7" s="5" t="s">
        <v>55</v>
      </c>
      <c r="Z7" s="1" t="s">
        <v>22</v>
      </c>
    </row>
    <row r="8" spans="1:26" ht="270" x14ac:dyDescent="0.25">
      <c r="A8" s="1"/>
      <c r="B8" s="1" t="s">
        <v>34</v>
      </c>
      <c r="C8" s="1" t="s">
        <v>21</v>
      </c>
      <c r="D8" s="1">
        <v>21</v>
      </c>
      <c r="E8" s="5" t="s">
        <v>18</v>
      </c>
      <c r="F8" s="5" t="s">
        <v>17</v>
      </c>
      <c r="G8" s="5" t="s">
        <v>17</v>
      </c>
      <c r="H8" s="5" t="s">
        <v>24</v>
      </c>
      <c r="I8" s="5" t="s">
        <v>17</v>
      </c>
      <c r="J8" s="1" t="s">
        <v>3</v>
      </c>
      <c r="K8" s="1">
        <f>VLOOKUP(E8,RatingLookup!$A$2:$B$7,2,FALSE)</f>
        <v>2</v>
      </c>
      <c r="L8" s="1">
        <f>VLOOKUP(F8,RatingLookup!$A$2:$B$7,2,FALSE)</f>
        <v>3</v>
      </c>
      <c r="M8" s="1">
        <f>VLOOKUP(G8,RatingLookup!$A$2:$B$7,2,FALSE)</f>
        <v>3</v>
      </c>
      <c r="N8" s="1">
        <f>VLOOKUP(H8,RatingLookup!$A$2:$B$7,2,FALSE)</f>
        <v>1</v>
      </c>
      <c r="O8" s="1">
        <f>VLOOKUP(I8,RatingLookup!$A$2:$B$7,2,FALSE)</f>
        <v>3</v>
      </c>
      <c r="P8" s="1">
        <f t="shared" si="0"/>
        <v>2.4</v>
      </c>
      <c r="Q8" s="1" t="s">
        <v>26</v>
      </c>
      <c r="R8" s="5" t="s">
        <v>117</v>
      </c>
      <c r="T8" s="5" t="s">
        <v>118</v>
      </c>
      <c r="U8" s="1" t="s">
        <v>38</v>
      </c>
      <c r="V8" s="5" t="s">
        <v>119</v>
      </c>
      <c r="W8" s="6">
        <v>42508.653599537036</v>
      </c>
      <c r="X8" s="5" t="s">
        <v>167</v>
      </c>
      <c r="Y8" s="5" t="s">
        <v>58</v>
      </c>
      <c r="Z8" s="1" t="s">
        <v>22</v>
      </c>
    </row>
    <row r="9" spans="1:26" ht="195" x14ac:dyDescent="0.25">
      <c r="A9" s="1"/>
      <c r="B9" s="1" t="s">
        <v>20</v>
      </c>
      <c r="C9" s="1" t="s">
        <v>21</v>
      </c>
      <c r="D9" s="1">
        <v>25</v>
      </c>
      <c r="E9" s="5" t="s">
        <v>18</v>
      </c>
      <c r="F9" s="5" t="s">
        <v>17</v>
      </c>
      <c r="G9" s="5" t="s">
        <v>17</v>
      </c>
      <c r="H9" s="5" t="s">
        <v>18</v>
      </c>
      <c r="I9" s="5" t="s">
        <v>18</v>
      </c>
      <c r="J9" s="1" t="s">
        <v>3</v>
      </c>
      <c r="K9" s="1">
        <f>VLOOKUP(E9,RatingLookup!$A$2:$B$7,2,FALSE)</f>
        <v>2</v>
      </c>
      <c r="L9" s="1">
        <f>VLOOKUP(F9,RatingLookup!$A$2:$B$7,2,FALSE)</f>
        <v>3</v>
      </c>
      <c r="M9" s="1">
        <f>VLOOKUP(G9,RatingLookup!$A$2:$B$7,2,FALSE)</f>
        <v>3</v>
      </c>
      <c r="N9" s="1">
        <f>VLOOKUP(H9,RatingLookup!$A$2:$B$7,2,FALSE)</f>
        <v>2</v>
      </c>
      <c r="O9" s="1">
        <f>VLOOKUP(I9,RatingLookup!$A$2:$B$7,2,FALSE)</f>
        <v>2</v>
      </c>
      <c r="P9" s="1">
        <f t="shared" si="0"/>
        <v>2.4</v>
      </c>
      <c r="Q9" s="1" t="s">
        <v>26</v>
      </c>
      <c r="R9" s="5" t="s">
        <v>129</v>
      </c>
      <c r="T9" s="5" t="s">
        <v>130</v>
      </c>
      <c r="U9" s="1" t="s">
        <v>41</v>
      </c>
      <c r="V9" s="5" t="s">
        <v>131</v>
      </c>
      <c r="W9" s="6">
        <v>42508.655115740738</v>
      </c>
      <c r="X9" s="5" t="s">
        <v>168</v>
      </c>
      <c r="Y9" s="5" t="s">
        <v>61</v>
      </c>
      <c r="Z9" s="1" t="s">
        <v>22</v>
      </c>
    </row>
    <row r="10" spans="1:26" ht="409.5" x14ac:dyDescent="0.25">
      <c r="A10" s="2">
        <v>92351</v>
      </c>
      <c r="B10" s="1" t="s">
        <v>20</v>
      </c>
      <c r="C10" s="1" t="s">
        <v>21</v>
      </c>
      <c r="D10" s="1">
        <v>22</v>
      </c>
      <c r="E10" s="5" t="s">
        <v>17</v>
      </c>
      <c r="F10" s="5" t="s">
        <v>18</v>
      </c>
      <c r="G10" s="5" t="s">
        <v>17</v>
      </c>
      <c r="H10" s="5" t="s">
        <v>18</v>
      </c>
      <c r="I10" s="5" t="s">
        <v>18</v>
      </c>
      <c r="J10" s="1" t="s">
        <v>3</v>
      </c>
      <c r="K10" s="1">
        <f>VLOOKUP(E10,RatingLookup!$A$2:$B$7,2,FALSE)</f>
        <v>3</v>
      </c>
      <c r="L10" s="1">
        <f>VLOOKUP(F10,RatingLookup!$A$2:$B$7,2,FALSE)</f>
        <v>2</v>
      </c>
      <c r="M10" s="1">
        <f>VLOOKUP(G10,RatingLookup!$A$2:$B$7,2,FALSE)</f>
        <v>3</v>
      </c>
      <c r="N10" s="1">
        <f>VLOOKUP(H10,RatingLookup!$A$2:$B$7,2,FALSE)</f>
        <v>2</v>
      </c>
      <c r="O10" s="1">
        <f>VLOOKUP(I10,RatingLookup!$A$2:$B$7,2,FALSE)</f>
        <v>2</v>
      </c>
      <c r="P10" s="1">
        <f t="shared" si="0"/>
        <v>2.4</v>
      </c>
      <c r="Q10" s="1" t="s">
        <v>19</v>
      </c>
      <c r="R10" s="5" t="s">
        <v>120</v>
      </c>
      <c r="S10" s="5" t="s">
        <v>160</v>
      </c>
      <c r="T10" s="5" t="s">
        <v>121</v>
      </c>
      <c r="U10" s="5" t="s">
        <v>39</v>
      </c>
      <c r="V10" s="5" t="s">
        <v>122</v>
      </c>
      <c r="W10" s="6">
        <v>42508.653912037036</v>
      </c>
      <c r="X10" s="5" t="s">
        <v>167</v>
      </c>
      <c r="Y10" s="5" t="s">
        <v>59</v>
      </c>
      <c r="Z10" s="1" t="s">
        <v>22</v>
      </c>
    </row>
    <row r="11" spans="1:26" ht="75" x14ac:dyDescent="0.25">
      <c r="A11" s="1"/>
      <c r="B11" s="1" t="s">
        <v>26</v>
      </c>
      <c r="C11" s="1" t="s">
        <v>27</v>
      </c>
      <c r="D11" s="1">
        <v>19</v>
      </c>
      <c r="E11" s="5" t="s">
        <v>18</v>
      </c>
      <c r="F11" s="5" t="s">
        <v>18</v>
      </c>
      <c r="G11" s="5" t="s">
        <v>17</v>
      </c>
      <c r="H11" s="5" t="s">
        <v>18</v>
      </c>
      <c r="I11" s="5" t="s">
        <v>18</v>
      </c>
      <c r="J11" s="1" t="s">
        <v>3</v>
      </c>
      <c r="K11" s="1">
        <f>VLOOKUP(E11,RatingLookup!$A$2:$B$7,2,FALSE)</f>
        <v>2</v>
      </c>
      <c r="L11" s="1">
        <f>VLOOKUP(F11,RatingLookup!$A$2:$B$7,2,FALSE)</f>
        <v>2</v>
      </c>
      <c r="M11" s="1">
        <f>VLOOKUP(G11,RatingLookup!$A$2:$B$7,2,FALSE)</f>
        <v>3</v>
      </c>
      <c r="N11" s="1">
        <f>VLOOKUP(H11,RatingLookup!$A$2:$B$7,2,FALSE)</f>
        <v>2</v>
      </c>
      <c r="O11" s="1">
        <f>VLOOKUP(I11,RatingLookup!$A$2:$B$7,2,FALSE)</f>
        <v>2</v>
      </c>
      <c r="P11" s="1">
        <f t="shared" si="0"/>
        <v>2.2000000000000002</v>
      </c>
      <c r="Q11" s="1" t="s">
        <v>19</v>
      </c>
      <c r="R11" s="5" t="s">
        <v>111</v>
      </c>
      <c r="T11" s="5" t="s">
        <v>112</v>
      </c>
      <c r="U11" s="1" t="s">
        <v>37</v>
      </c>
      <c r="V11" s="5" t="s">
        <v>113</v>
      </c>
      <c r="W11" s="6">
        <v>42508.653078703705</v>
      </c>
      <c r="X11" s="5" t="s">
        <v>168</v>
      </c>
      <c r="Y11" s="5" t="s">
        <v>57</v>
      </c>
      <c r="Z11" s="1" t="s">
        <v>22</v>
      </c>
    </row>
    <row r="12" spans="1:26" ht="45" x14ac:dyDescent="0.25">
      <c r="A12" s="1"/>
      <c r="B12" s="1" t="s">
        <v>45</v>
      </c>
      <c r="C12" s="1" t="s">
        <v>27</v>
      </c>
      <c r="D12" s="1">
        <v>37</v>
      </c>
      <c r="E12" s="5" t="s">
        <v>17</v>
      </c>
      <c r="F12" s="5" t="s">
        <v>17</v>
      </c>
      <c r="G12" s="5" t="s">
        <v>17</v>
      </c>
      <c r="H12" s="5" t="s">
        <v>23</v>
      </c>
      <c r="I12" s="5" t="s">
        <v>18</v>
      </c>
      <c r="J12" s="1" t="s">
        <v>1</v>
      </c>
      <c r="K12" s="1">
        <f>VLOOKUP(E12,RatingLookup!$A$2:$B$7,2,FALSE)</f>
        <v>3</v>
      </c>
      <c r="L12" s="1">
        <f>VLOOKUP(F12,RatingLookup!$A$2:$B$7,2,FALSE)</f>
        <v>3</v>
      </c>
      <c r="M12" s="1">
        <f>VLOOKUP(G12,RatingLookup!$A$2:$B$7,2,FALSE)</f>
        <v>3</v>
      </c>
      <c r="N12" s="1">
        <f>VLOOKUP(H12,RatingLookup!$A$2:$B$7,2,FALSE)</f>
        <v>0</v>
      </c>
      <c r="O12" s="1">
        <f>VLOOKUP(I12,RatingLookup!$A$2:$B$7,2,FALSE)</f>
        <v>2</v>
      </c>
      <c r="P12" s="1">
        <f t="shared" si="0"/>
        <v>2.2000000000000002</v>
      </c>
      <c r="Q12" s="1" t="s">
        <v>26</v>
      </c>
      <c r="R12" s="5" t="s">
        <v>66</v>
      </c>
      <c r="V12" s="5" t="s">
        <v>146</v>
      </c>
      <c r="W12" s="6">
        <v>42508.656076388892</v>
      </c>
      <c r="X12" s="5" t="s">
        <v>29</v>
      </c>
      <c r="Y12" s="5" t="s">
        <v>67</v>
      </c>
      <c r="Z12" s="1" t="s">
        <v>22</v>
      </c>
    </row>
    <row r="13" spans="1:26" ht="45" x14ac:dyDescent="0.25">
      <c r="A13" s="1"/>
      <c r="B13" s="1" t="s">
        <v>45</v>
      </c>
      <c r="C13" s="1" t="s">
        <v>27</v>
      </c>
      <c r="D13" s="1">
        <v>38</v>
      </c>
      <c r="E13" s="5" t="s">
        <v>17</v>
      </c>
      <c r="F13" s="5" t="s">
        <v>17</v>
      </c>
      <c r="G13" s="5" t="s">
        <v>17</v>
      </c>
      <c r="H13" s="5" t="s">
        <v>23</v>
      </c>
      <c r="I13" s="5" t="s">
        <v>18</v>
      </c>
      <c r="J13" s="1" t="s">
        <v>1</v>
      </c>
      <c r="K13" s="1">
        <f>VLOOKUP(E13,RatingLookup!$A$2:$B$7,2,FALSE)</f>
        <v>3</v>
      </c>
      <c r="L13" s="1">
        <f>VLOOKUP(F13,RatingLookup!$A$2:$B$7,2,FALSE)</f>
        <v>3</v>
      </c>
      <c r="M13" s="1">
        <f>VLOOKUP(G13,RatingLookup!$A$2:$B$7,2,FALSE)</f>
        <v>3</v>
      </c>
      <c r="N13" s="1">
        <f>VLOOKUP(H13,RatingLookup!$A$2:$B$7,2,FALSE)</f>
        <v>0</v>
      </c>
      <c r="O13" s="1">
        <f>VLOOKUP(I13,RatingLookup!$A$2:$B$7,2,FALSE)</f>
        <v>2</v>
      </c>
      <c r="P13" s="1">
        <f t="shared" si="0"/>
        <v>2.2000000000000002</v>
      </c>
      <c r="Q13" s="1" t="s">
        <v>26</v>
      </c>
      <c r="R13" s="5" t="s">
        <v>68</v>
      </c>
      <c r="V13" s="5" t="s">
        <v>147</v>
      </c>
      <c r="W13" s="6">
        <v>42508.656331018516</v>
      </c>
      <c r="X13" s="5" t="s">
        <v>168</v>
      </c>
      <c r="Y13" s="5" t="s">
        <v>69</v>
      </c>
      <c r="Z13" s="1" t="s">
        <v>22</v>
      </c>
    </row>
    <row r="14" spans="1:26" ht="240" x14ac:dyDescent="0.25">
      <c r="A14" s="1"/>
      <c r="D14" s="1">
        <v>15</v>
      </c>
      <c r="E14" s="5" t="s">
        <v>18</v>
      </c>
      <c r="F14" s="5" t="s">
        <v>18</v>
      </c>
      <c r="G14" s="5" t="s">
        <v>18</v>
      </c>
      <c r="H14" s="5" t="s">
        <v>18</v>
      </c>
      <c r="I14" s="5" t="s">
        <v>18</v>
      </c>
      <c r="J14" s="1" t="s">
        <v>4</v>
      </c>
      <c r="K14" s="1">
        <f>VLOOKUP(E14,RatingLookup!$A$2:$B$7,2,FALSE)</f>
        <v>2</v>
      </c>
      <c r="L14" s="1">
        <f>VLOOKUP(F14,RatingLookup!$A$2:$B$7,2,FALSE)</f>
        <v>2</v>
      </c>
      <c r="M14" s="1">
        <f>VLOOKUP(G14,RatingLookup!$A$2:$B$7,2,FALSE)</f>
        <v>2</v>
      </c>
      <c r="N14" s="1">
        <f>VLOOKUP(H14,RatingLookup!$A$2:$B$7,2,FALSE)</f>
        <v>2</v>
      </c>
      <c r="O14" s="1">
        <f>VLOOKUP(I14,RatingLookup!$A$2:$B$7,2,FALSE)</f>
        <v>2</v>
      </c>
      <c r="P14" s="1">
        <f t="shared" si="0"/>
        <v>2</v>
      </c>
      <c r="R14" s="5" t="s">
        <v>102</v>
      </c>
      <c r="T14" s="5" t="s">
        <v>103</v>
      </c>
      <c r="V14" s="5" t="s">
        <v>104</v>
      </c>
      <c r="W14" s="6">
        <v>42516.642534722225</v>
      </c>
      <c r="X14" s="5" t="s">
        <v>169</v>
      </c>
      <c r="Z14" s="1" t="s">
        <v>22</v>
      </c>
    </row>
    <row r="15" spans="1:26" ht="120" x14ac:dyDescent="0.25">
      <c r="A15" s="1"/>
      <c r="D15" s="1">
        <v>41</v>
      </c>
      <c r="E15" s="5" t="s">
        <v>18</v>
      </c>
      <c r="F15" s="5" t="s">
        <v>18</v>
      </c>
      <c r="G15" s="5" t="s">
        <v>18</v>
      </c>
      <c r="H15" s="5" t="s">
        <v>18</v>
      </c>
      <c r="I15" s="5" t="s">
        <v>18</v>
      </c>
      <c r="J15" s="1" t="s">
        <v>1</v>
      </c>
      <c r="K15" s="1">
        <f>VLOOKUP(E15,RatingLookup!$A$2:$B$7,2,FALSE)</f>
        <v>2</v>
      </c>
      <c r="L15" s="1">
        <f>VLOOKUP(F15,RatingLookup!$A$2:$B$7,2,FALSE)</f>
        <v>2</v>
      </c>
      <c r="M15" s="1">
        <f>VLOOKUP(G15,RatingLookup!$A$2:$B$7,2,FALSE)</f>
        <v>2</v>
      </c>
      <c r="N15" s="1">
        <f>VLOOKUP(H15,RatingLookup!$A$2:$B$7,2,FALSE)</f>
        <v>2</v>
      </c>
      <c r="O15" s="1">
        <f>VLOOKUP(I15,RatingLookup!$A$2:$B$7,2,FALSE)</f>
        <v>2</v>
      </c>
      <c r="P15" s="1">
        <f t="shared" si="0"/>
        <v>2</v>
      </c>
      <c r="Q15" s="1" t="s">
        <v>26</v>
      </c>
      <c r="R15" s="5" t="s">
        <v>71</v>
      </c>
      <c r="V15" s="5" t="s">
        <v>149</v>
      </c>
      <c r="W15" s="6">
        <v>42473.751585648148</v>
      </c>
      <c r="X15" s="5" t="s">
        <v>167</v>
      </c>
      <c r="Z15" s="1" t="s">
        <v>22</v>
      </c>
    </row>
    <row r="16" spans="1:26" ht="120" x14ac:dyDescent="0.25">
      <c r="A16" s="1"/>
      <c r="D16" s="1">
        <v>44</v>
      </c>
      <c r="E16" s="5" t="s">
        <v>18</v>
      </c>
      <c r="F16" s="5" t="s">
        <v>18</v>
      </c>
      <c r="G16" s="5" t="s">
        <v>18</v>
      </c>
      <c r="H16" s="5" t="s">
        <v>18</v>
      </c>
      <c r="I16" s="5" t="s">
        <v>18</v>
      </c>
      <c r="J16" s="1" t="s">
        <v>1</v>
      </c>
      <c r="K16" s="1">
        <f>VLOOKUP(E16,RatingLookup!$A$2:$B$7,2,FALSE)</f>
        <v>2</v>
      </c>
      <c r="L16" s="1">
        <f>VLOOKUP(F16,RatingLookup!$A$2:$B$7,2,FALSE)</f>
        <v>2</v>
      </c>
      <c r="M16" s="1">
        <f>VLOOKUP(G16,RatingLookup!$A$2:$B$7,2,FALSE)</f>
        <v>2</v>
      </c>
      <c r="N16" s="1">
        <f>VLOOKUP(H16,RatingLookup!$A$2:$B$7,2,FALSE)</f>
        <v>2</v>
      </c>
      <c r="O16" s="1">
        <f>VLOOKUP(I16,RatingLookup!$A$2:$B$7,2,FALSE)</f>
        <v>2</v>
      </c>
      <c r="P16" s="1">
        <f t="shared" si="0"/>
        <v>2</v>
      </c>
      <c r="Q16" s="1" t="s">
        <v>26</v>
      </c>
      <c r="R16" s="5" t="s">
        <v>72</v>
      </c>
      <c r="V16" s="5" t="s">
        <v>150</v>
      </c>
      <c r="W16" s="6">
        <v>42473.752071759256</v>
      </c>
      <c r="X16" s="5" t="s">
        <v>166</v>
      </c>
      <c r="Z16" s="1" t="s">
        <v>22</v>
      </c>
    </row>
    <row r="17" spans="1:26" ht="360" x14ac:dyDescent="0.25">
      <c r="A17" s="2">
        <v>92357</v>
      </c>
      <c r="B17" s="1" t="s">
        <v>20</v>
      </c>
      <c r="C17" s="1" t="s">
        <v>21</v>
      </c>
      <c r="D17" s="1">
        <v>40</v>
      </c>
      <c r="E17" s="5" t="s">
        <v>17</v>
      </c>
      <c r="F17" s="5" t="s">
        <v>18</v>
      </c>
      <c r="G17" s="5" t="s">
        <v>17</v>
      </c>
      <c r="H17" s="5" t="s">
        <v>23</v>
      </c>
      <c r="I17" s="5" t="s">
        <v>18</v>
      </c>
      <c r="J17" s="1" t="s">
        <v>1</v>
      </c>
      <c r="K17" s="1">
        <f>VLOOKUP(E17,RatingLookup!$A$2:$B$7,2,FALSE)</f>
        <v>3</v>
      </c>
      <c r="L17" s="1">
        <f>VLOOKUP(F17,RatingLookup!$A$2:$B$7,2,FALSE)</f>
        <v>2</v>
      </c>
      <c r="M17" s="1">
        <f>VLOOKUP(G17,RatingLookup!$A$2:$B$7,2,FALSE)</f>
        <v>3</v>
      </c>
      <c r="N17" s="1">
        <f>VLOOKUP(H17,RatingLookup!$A$2:$B$7,2,FALSE)</f>
        <v>0</v>
      </c>
      <c r="O17" s="1">
        <f>VLOOKUP(I17,RatingLookup!$A$2:$B$7,2,FALSE)</f>
        <v>2</v>
      </c>
      <c r="P17" s="1">
        <f t="shared" si="0"/>
        <v>2</v>
      </c>
      <c r="Q17" s="1" t="s">
        <v>19</v>
      </c>
      <c r="R17" s="5" t="s">
        <v>70</v>
      </c>
      <c r="S17" s="5" t="s">
        <v>161</v>
      </c>
      <c r="V17" s="5" t="s">
        <v>148</v>
      </c>
      <c r="W17" s="6">
        <v>42508.654189814813</v>
      </c>
      <c r="X17" s="5" t="s">
        <v>167</v>
      </c>
      <c r="Y17" s="5" t="s">
        <v>59</v>
      </c>
      <c r="Z17" s="1" t="s">
        <v>22</v>
      </c>
    </row>
    <row r="18" spans="1:26" ht="135" x14ac:dyDescent="0.25">
      <c r="A18" s="1"/>
      <c r="B18" s="5" t="s">
        <v>36</v>
      </c>
      <c r="C18" s="1" t="s">
        <v>27</v>
      </c>
      <c r="D18" s="1">
        <v>18</v>
      </c>
      <c r="E18" s="5" t="s">
        <v>24</v>
      </c>
      <c r="F18" s="5" t="s">
        <v>18</v>
      </c>
      <c r="G18" s="5" t="s">
        <v>17</v>
      </c>
      <c r="H18" s="5" t="s">
        <v>24</v>
      </c>
      <c r="I18" s="5" t="s">
        <v>17</v>
      </c>
      <c r="J18" s="1" t="s">
        <v>3</v>
      </c>
      <c r="K18" s="1">
        <f>VLOOKUP(E18,RatingLookup!$A$2:$B$7,2,FALSE)</f>
        <v>1</v>
      </c>
      <c r="L18" s="1">
        <f>VLOOKUP(F18,RatingLookup!$A$2:$B$7,2,FALSE)</f>
        <v>2</v>
      </c>
      <c r="M18" s="1">
        <f>VLOOKUP(G18,RatingLookup!$A$2:$B$7,2,FALSE)</f>
        <v>3</v>
      </c>
      <c r="N18" s="1">
        <f>VLOOKUP(H18,RatingLookup!$A$2:$B$7,2,FALSE)</f>
        <v>1</v>
      </c>
      <c r="O18" s="1">
        <f>VLOOKUP(I18,RatingLookup!$A$2:$B$7,2,FALSE)</f>
        <v>3</v>
      </c>
      <c r="P18" s="1">
        <f t="shared" si="0"/>
        <v>2</v>
      </c>
      <c r="Q18" s="1" t="s">
        <v>19</v>
      </c>
      <c r="R18" s="5" t="s">
        <v>108</v>
      </c>
      <c r="T18" s="5" t="s">
        <v>109</v>
      </c>
      <c r="U18" s="1" t="s">
        <v>35</v>
      </c>
      <c r="V18" s="5" t="s">
        <v>110</v>
      </c>
      <c r="W18" s="6">
        <v>42508.652812499997</v>
      </c>
      <c r="X18" s="5" t="s">
        <v>29</v>
      </c>
      <c r="Y18" s="5" t="s">
        <v>56</v>
      </c>
      <c r="Z18" s="1" t="s">
        <v>22</v>
      </c>
    </row>
    <row r="19" spans="1:26" ht="255" x14ac:dyDescent="0.25">
      <c r="A19" s="1"/>
      <c r="B19" s="1" t="s">
        <v>26</v>
      </c>
      <c r="C19" s="1" t="s">
        <v>27</v>
      </c>
      <c r="D19" s="1">
        <v>3</v>
      </c>
      <c r="E19" s="5" t="s">
        <v>18</v>
      </c>
      <c r="F19" s="5" t="s">
        <v>23</v>
      </c>
      <c r="G19" s="5" t="s">
        <v>24</v>
      </c>
      <c r="H19" s="5" t="s">
        <v>17</v>
      </c>
      <c r="I19" s="5" t="s">
        <v>17</v>
      </c>
      <c r="J19" s="1" t="s">
        <v>5</v>
      </c>
      <c r="K19" s="1">
        <f>VLOOKUP(E19,RatingLookup!$A$2:$B$7,2,FALSE)</f>
        <v>2</v>
      </c>
      <c r="L19" s="1">
        <f>VLOOKUP(F19,RatingLookup!$A$2:$B$7,2,FALSE)</f>
        <v>0</v>
      </c>
      <c r="M19" s="1">
        <f>VLOOKUP(G19,RatingLookup!$A$2:$B$7,2,FALSE)</f>
        <v>1</v>
      </c>
      <c r="N19" s="1">
        <f>VLOOKUP(H19,RatingLookup!$A$2:$B$7,2,FALSE)</f>
        <v>3</v>
      </c>
      <c r="O19" s="1">
        <f>VLOOKUP(I19,RatingLookup!$A$2:$B$7,2,FALSE)</f>
        <v>3</v>
      </c>
      <c r="P19" s="1">
        <f t="shared" si="0"/>
        <v>1.8</v>
      </c>
      <c r="Q19" s="1" t="s">
        <v>19</v>
      </c>
      <c r="R19" s="5" t="s">
        <v>77</v>
      </c>
      <c r="T19" s="5" t="s">
        <v>25</v>
      </c>
      <c r="V19" s="5" t="s">
        <v>78</v>
      </c>
      <c r="W19" s="6">
        <v>42508.650902777779</v>
      </c>
      <c r="X19" s="5" t="s">
        <v>170</v>
      </c>
      <c r="Y19" s="5" t="s">
        <v>49</v>
      </c>
      <c r="Z19" s="1" t="s">
        <v>22</v>
      </c>
    </row>
    <row r="20" spans="1:26" ht="90" x14ac:dyDescent="0.25">
      <c r="A20" s="1"/>
      <c r="D20" s="1">
        <v>10</v>
      </c>
      <c r="E20" s="5" t="s">
        <v>18</v>
      </c>
      <c r="F20" s="5" t="s">
        <v>18</v>
      </c>
      <c r="G20" s="5" t="s">
        <v>18</v>
      </c>
      <c r="H20" s="5" t="s">
        <v>24</v>
      </c>
      <c r="I20" s="5" t="s">
        <v>18</v>
      </c>
      <c r="J20" s="1" t="s">
        <v>5</v>
      </c>
      <c r="K20" s="1">
        <f>VLOOKUP(E20,RatingLookup!$A$2:$B$7,2,FALSE)</f>
        <v>2</v>
      </c>
      <c r="L20" s="1">
        <f>VLOOKUP(F20,RatingLookup!$A$2:$B$7,2,FALSE)</f>
        <v>2</v>
      </c>
      <c r="M20" s="1">
        <f>VLOOKUP(G20,RatingLookup!$A$2:$B$7,2,FALSE)</f>
        <v>2</v>
      </c>
      <c r="N20" s="1">
        <f>VLOOKUP(H20,RatingLookup!$A$2:$B$7,2,FALSE)</f>
        <v>1</v>
      </c>
      <c r="O20" s="1">
        <f>VLOOKUP(I20,RatingLookup!$A$2:$B$7,2,FALSE)</f>
        <v>2</v>
      </c>
      <c r="P20" s="1">
        <f t="shared" si="0"/>
        <v>1.8</v>
      </c>
      <c r="R20" s="5" t="s">
        <v>91</v>
      </c>
      <c r="V20" s="5" t="s">
        <v>92</v>
      </c>
      <c r="W20" s="6">
        <v>42473.744016203702</v>
      </c>
      <c r="X20" s="5" t="s">
        <v>168</v>
      </c>
      <c r="Z20" s="1" t="s">
        <v>22</v>
      </c>
    </row>
    <row r="21" spans="1:26" ht="150" x14ac:dyDescent="0.25">
      <c r="A21" s="1"/>
      <c r="D21" s="1">
        <v>11</v>
      </c>
      <c r="E21" s="5" t="s">
        <v>18</v>
      </c>
      <c r="F21" s="5" t="s">
        <v>18</v>
      </c>
      <c r="G21" s="5" t="s">
        <v>18</v>
      </c>
      <c r="H21" s="5" t="s">
        <v>24</v>
      </c>
      <c r="I21" s="5" t="s">
        <v>18</v>
      </c>
      <c r="J21" s="1" t="s">
        <v>5</v>
      </c>
      <c r="K21" s="1">
        <f>VLOOKUP(E21,RatingLookup!$A$2:$B$7,2,FALSE)</f>
        <v>2</v>
      </c>
      <c r="L21" s="1">
        <f>VLOOKUP(F21,RatingLookup!$A$2:$B$7,2,FALSE)</f>
        <v>2</v>
      </c>
      <c r="M21" s="1">
        <f>VLOOKUP(G21,RatingLookup!$A$2:$B$7,2,FALSE)</f>
        <v>2</v>
      </c>
      <c r="N21" s="1">
        <f>VLOOKUP(H21,RatingLookup!$A$2:$B$7,2,FALSE)</f>
        <v>1</v>
      </c>
      <c r="O21" s="1">
        <f>VLOOKUP(I21,RatingLookup!$A$2:$B$7,2,FALSE)</f>
        <v>2</v>
      </c>
      <c r="P21" s="1">
        <f t="shared" si="0"/>
        <v>1.8</v>
      </c>
      <c r="R21" s="5" t="s">
        <v>93</v>
      </c>
      <c r="T21" s="5" t="s">
        <v>94</v>
      </c>
      <c r="W21" s="6">
        <v>42473.744270833333</v>
      </c>
      <c r="X21" s="5" t="s">
        <v>168</v>
      </c>
      <c r="Z21" s="1" t="s">
        <v>22</v>
      </c>
    </row>
    <row r="22" spans="1:26" ht="105" x14ac:dyDescent="0.25">
      <c r="A22" s="1"/>
      <c r="D22" s="1">
        <v>7</v>
      </c>
      <c r="E22" s="5" t="s">
        <v>18</v>
      </c>
      <c r="F22" s="5" t="s">
        <v>18</v>
      </c>
      <c r="G22" s="5" t="s">
        <v>18</v>
      </c>
      <c r="H22" s="5" t="s">
        <v>23</v>
      </c>
      <c r="I22" s="5" t="s">
        <v>18</v>
      </c>
      <c r="J22" s="1" t="s">
        <v>5</v>
      </c>
      <c r="K22" s="1">
        <f>VLOOKUP(E22,RatingLookup!$A$2:$B$7,2,FALSE)</f>
        <v>2</v>
      </c>
      <c r="L22" s="1">
        <f>VLOOKUP(F22,RatingLookup!$A$2:$B$7,2,FALSE)</f>
        <v>2</v>
      </c>
      <c r="M22" s="1">
        <f>VLOOKUP(G22,RatingLookup!$A$2:$B$7,2,FALSE)</f>
        <v>2</v>
      </c>
      <c r="N22" s="1">
        <f>VLOOKUP(H22,RatingLookup!$A$2:$B$7,2,FALSE)</f>
        <v>0</v>
      </c>
      <c r="O22" s="1">
        <f>VLOOKUP(I22,RatingLookup!$A$2:$B$7,2,FALSE)</f>
        <v>2</v>
      </c>
      <c r="P22" s="1">
        <f t="shared" si="0"/>
        <v>1.6</v>
      </c>
      <c r="Q22" s="1" t="s">
        <v>30</v>
      </c>
      <c r="R22" s="5" t="s">
        <v>85</v>
      </c>
      <c r="T22" s="5" t="s">
        <v>31</v>
      </c>
      <c r="V22" s="5" t="s">
        <v>86</v>
      </c>
      <c r="W22" s="6">
        <v>42473.743495370371</v>
      </c>
      <c r="X22" s="5" t="s">
        <v>29</v>
      </c>
      <c r="Z22" s="1" t="s">
        <v>22</v>
      </c>
    </row>
    <row r="23" spans="1:26" ht="75" x14ac:dyDescent="0.25">
      <c r="A23" s="1"/>
      <c r="D23" s="1">
        <v>13</v>
      </c>
      <c r="E23" s="5" t="s">
        <v>18</v>
      </c>
      <c r="F23" s="5" t="s">
        <v>23</v>
      </c>
      <c r="G23" s="5" t="s">
        <v>18</v>
      </c>
      <c r="H23" s="5" t="s">
        <v>18</v>
      </c>
      <c r="I23" s="5" t="s">
        <v>18</v>
      </c>
      <c r="J23" s="1" t="s">
        <v>5</v>
      </c>
      <c r="K23" s="1">
        <f>VLOOKUP(E23,RatingLookup!$A$2:$B$7,2,FALSE)</f>
        <v>2</v>
      </c>
      <c r="L23" s="1">
        <f>VLOOKUP(F23,RatingLookup!$A$2:$B$7,2,FALSE)</f>
        <v>0</v>
      </c>
      <c r="M23" s="1">
        <f>VLOOKUP(G23,RatingLookup!$A$2:$B$7,2,FALSE)</f>
        <v>2</v>
      </c>
      <c r="N23" s="1">
        <f>VLOOKUP(H23,RatingLookup!$A$2:$B$7,2,FALSE)</f>
        <v>2</v>
      </c>
      <c r="O23" s="1">
        <f>VLOOKUP(I23,RatingLookup!$A$2:$B$7,2,FALSE)</f>
        <v>2</v>
      </c>
      <c r="P23" s="1">
        <f t="shared" si="0"/>
        <v>1.6</v>
      </c>
      <c r="R23" s="5" t="s">
        <v>97</v>
      </c>
      <c r="V23" s="5" t="s">
        <v>98</v>
      </c>
      <c r="W23" s="6">
        <v>42473.744652777779</v>
      </c>
      <c r="X23" s="5" t="s">
        <v>29</v>
      </c>
      <c r="Z23" s="1" t="s">
        <v>22</v>
      </c>
    </row>
    <row r="24" spans="1:26" ht="75" x14ac:dyDescent="0.25">
      <c r="A24" s="1"/>
      <c r="D24" s="1">
        <v>26</v>
      </c>
      <c r="E24" s="5" t="s">
        <v>18</v>
      </c>
      <c r="F24" s="5" t="s">
        <v>23</v>
      </c>
      <c r="G24" s="5" t="s">
        <v>18</v>
      </c>
      <c r="H24" s="5" t="s">
        <v>18</v>
      </c>
      <c r="I24" s="5" t="s">
        <v>18</v>
      </c>
      <c r="J24" s="1" t="s">
        <v>3</v>
      </c>
      <c r="K24" s="1">
        <f>VLOOKUP(E24,RatingLookup!$A$2:$B$7,2,FALSE)</f>
        <v>2</v>
      </c>
      <c r="L24" s="1">
        <f>VLOOKUP(F24,RatingLookup!$A$2:$B$7,2,FALSE)</f>
        <v>0</v>
      </c>
      <c r="M24" s="1">
        <f>VLOOKUP(G24,RatingLookup!$A$2:$B$7,2,FALSE)</f>
        <v>2</v>
      </c>
      <c r="N24" s="1">
        <f>VLOOKUP(H24,RatingLookup!$A$2:$B$7,2,FALSE)</f>
        <v>2</v>
      </c>
      <c r="O24" s="1">
        <f>VLOOKUP(I24,RatingLookup!$A$2:$B$7,2,FALSE)</f>
        <v>2</v>
      </c>
      <c r="P24" s="1">
        <f t="shared" si="0"/>
        <v>1.6</v>
      </c>
      <c r="Q24" s="1" t="s">
        <v>42</v>
      </c>
      <c r="R24" s="5" t="s">
        <v>132</v>
      </c>
      <c r="T24" s="5" t="s">
        <v>133</v>
      </c>
      <c r="V24" s="5" t="s">
        <v>134</v>
      </c>
      <c r="W24" s="6">
        <v>42473.753009259257</v>
      </c>
      <c r="X24" s="5" t="s">
        <v>29</v>
      </c>
      <c r="Z24" s="1" t="s">
        <v>22</v>
      </c>
    </row>
    <row r="25" spans="1:26" ht="105" x14ac:dyDescent="0.25">
      <c r="A25" s="1"/>
      <c r="D25" s="1">
        <v>28</v>
      </c>
      <c r="E25" s="5" t="s">
        <v>18</v>
      </c>
      <c r="F25" s="5" t="s">
        <v>18</v>
      </c>
      <c r="G25" s="5" t="s">
        <v>18</v>
      </c>
      <c r="H25" s="5" t="s">
        <v>23</v>
      </c>
      <c r="I25" s="5" t="s">
        <v>18</v>
      </c>
      <c r="J25" s="1" t="s">
        <v>3</v>
      </c>
      <c r="K25" s="1">
        <f>VLOOKUP(E25,RatingLookup!$A$2:$B$7,2,FALSE)</f>
        <v>2</v>
      </c>
      <c r="L25" s="1">
        <f>VLOOKUP(F25,RatingLookup!$A$2:$B$7,2,FALSE)</f>
        <v>2</v>
      </c>
      <c r="M25" s="1">
        <f>VLOOKUP(G25,RatingLookup!$A$2:$B$7,2,FALSE)</f>
        <v>2</v>
      </c>
      <c r="N25" s="1">
        <f>VLOOKUP(H25,RatingLookup!$A$2:$B$7,2,FALSE)</f>
        <v>0</v>
      </c>
      <c r="O25" s="1">
        <f>VLOOKUP(I25,RatingLookup!$A$2:$B$7,2,FALSE)</f>
        <v>2</v>
      </c>
      <c r="P25" s="1">
        <f t="shared" si="0"/>
        <v>1.6</v>
      </c>
      <c r="Q25" s="1" t="s">
        <v>42</v>
      </c>
      <c r="R25" s="5" t="s">
        <v>135</v>
      </c>
      <c r="T25" s="5" t="s">
        <v>136</v>
      </c>
      <c r="V25" s="5" t="s">
        <v>137</v>
      </c>
      <c r="W25" s="6">
        <v>42473.753449074073</v>
      </c>
      <c r="X25" s="5" t="s">
        <v>168</v>
      </c>
      <c r="Z25" s="1" t="s">
        <v>22</v>
      </c>
    </row>
    <row r="26" spans="1:26" ht="330" x14ac:dyDescent="0.25">
      <c r="A26" s="1"/>
      <c r="D26" s="1">
        <v>14</v>
      </c>
      <c r="E26" s="5" t="s">
        <v>18</v>
      </c>
      <c r="F26" s="5" t="s">
        <v>23</v>
      </c>
      <c r="G26" s="5" t="s">
        <v>24</v>
      </c>
      <c r="H26" s="5" t="s">
        <v>18</v>
      </c>
      <c r="I26" s="5" t="s">
        <v>24</v>
      </c>
      <c r="J26" s="1" t="s">
        <v>4</v>
      </c>
      <c r="K26" s="1">
        <f>VLOOKUP(E26,RatingLookup!$A$2:$B$7,2,FALSE)</f>
        <v>2</v>
      </c>
      <c r="L26" s="1">
        <f>VLOOKUP(F26,RatingLookup!$A$2:$B$7,2,FALSE)</f>
        <v>0</v>
      </c>
      <c r="M26" s="1">
        <f>VLOOKUP(G26,RatingLookup!$A$2:$B$7,2,FALSE)</f>
        <v>1</v>
      </c>
      <c r="N26" s="1">
        <f>VLOOKUP(H26,RatingLookup!$A$2:$B$7,2,FALSE)</f>
        <v>2</v>
      </c>
      <c r="O26" s="1">
        <f>VLOOKUP(I26,RatingLookup!$A$2:$B$7,2,FALSE)</f>
        <v>1</v>
      </c>
      <c r="P26" s="1">
        <f t="shared" si="0"/>
        <v>1.2</v>
      </c>
      <c r="R26" s="5" t="s">
        <v>99</v>
      </c>
      <c r="T26" s="5" t="s">
        <v>100</v>
      </c>
      <c r="V26" s="5" t="s">
        <v>101</v>
      </c>
      <c r="W26" s="6">
        <v>42479.381631944445</v>
      </c>
      <c r="X26" s="5" t="s">
        <v>33</v>
      </c>
      <c r="Z26" s="1" t="s">
        <v>22</v>
      </c>
    </row>
    <row r="27" spans="1:26" ht="75" x14ac:dyDescent="0.25">
      <c r="A27" s="1"/>
      <c r="D27" s="1">
        <v>36</v>
      </c>
      <c r="E27" s="5" t="s">
        <v>18</v>
      </c>
      <c r="F27" s="5" t="s">
        <v>23</v>
      </c>
      <c r="G27" s="5" t="s">
        <v>18</v>
      </c>
      <c r="H27" s="5" t="s">
        <v>23</v>
      </c>
      <c r="I27" s="5" t="s">
        <v>18</v>
      </c>
      <c r="J27" s="1" t="s">
        <v>1</v>
      </c>
      <c r="K27" s="1">
        <f>VLOOKUP(E27,RatingLookup!$A$2:$B$7,2,FALSE)</f>
        <v>2</v>
      </c>
      <c r="L27" s="1">
        <f>VLOOKUP(F27,RatingLookup!$A$2:$B$7,2,FALSE)</f>
        <v>0</v>
      </c>
      <c r="M27" s="1">
        <f>VLOOKUP(G27,RatingLookup!$A$2:$B$7,2,FALSE)</f>
        <v>2</v>
      </c>
      <c r="N27" s="1">
        <f>VLOOKUP(H27,RatingLookup!$A$2:$B$7,2,FALSE)</f>
        <v>0</v>
      </c>
      <c r="O27" s="1">
        <f>VLOOKUP(I27,RatingLookup!$A$2:$B$7,2,FALSE)</f>
        <v>2</v>
      </c>
      <c r="P27" s="1">
        <f t="shared" si="0"/>
        <v>1.2</v>
      </c>
      <c r="Q27" s="1" t="s">
        <v>26</v>
      </c>
      <c r="R27" s="5" t="s">
        <v>65</v>
      </c>
      <c r="V27" s="5" t="s">
        <v>145</v>
      </c>
      <c r="W27" s="6">
        <v>42473.750671296293</v>
      </c>
      <c r="X27" s="5" t="s">
        <v>171</v>
      </c>
      <c r="Z27" s="1" t="s">
        <v>22</v>
      </c>
    </row>
    <row r="28" spans="1:26" ht="120" x14ac:dyDescent="0.25">
      <c r="A28" s="1"/>
      <c r="D28" s="1">
        <v>6</v>
      </c>
      <c r="E28" s="5" t="s">
        <v>18</v>
      </c>
      <c r="F28" s="5" t="s">
        <v>23</v>
      </c>
      <c r="H28" s="5" t="s">
        <v>24</v>
      </c>
      <c r="I28" s="5" t="s">
        <v>18</v>
      </c>
      <c r="J28" s="1" t="s">
        <v>5</v>
      </c>
      <c r="K28" s="1">
        <f>VLOOKUP(E28,RatingLookup!$A$2:$B$7,2,FALSE)</f>
        <v>2</v>
      </c>
      <c r="L28" s="1">
        <f>VLOOKUP(F28,RatingLookup!$A$2:$B$7,2,FALSE)</f>
        <v>0</v>
      </c>
      <c r="M28" s="1">
        <f>0</f>
        <v>0</v>
      </c>
      <c r="N28" s="1">
        <f>VLOOKUP(H28,RatingLookup!$A$2:$B$7,2,FALSE)</f>
        <v>1</v>
      </c>
      <c r="O28" s="1">
        <f>VLOOKUP(I28,RatingLookup!$A$2:$B$7,2,FALSE)</f>
        <v>2</v>
      </c>
      <c r="P28" s="1">
        <f t="shared" si="0"/>
        <v>1</v>
      </c>
      <c r="Q28" s="1" t="s">
        <v>19</v>
      </c>
      <c r="R28" s="5" t="s">
        <v>83</v>
      </c>
      <c r="T28" s="5" t="s">
        <v>53</v>
      </c>
      <c r="V28" s="5" t="s">
        <v>84</v>
      </c>
      <c r="W28" s="6">
        <v>42473.353831018518</v>
      </c>
      <c r="X28" s="5" t="s">
        <v>29</v>
      </c>
      <c r="Z28" s="1" t="s">
        <v>22</v>
      </c>
    </row>
    <row r="29" spans="1:26" ht="225" x14ac:dyDescent="0.25">
      <c r="A29" s="1"/>
      <c r="D29" s="1">
        <v>5</v>
      </c>
      <c r="E29" s="5" t="s">
        <v>18</v>
      </c>
      <c r="F29" s="5" t="s">
        <v>23</v>
      </c>
      <c r="G29" s="5" t="s">
        <v>23</v>
      </c>
      <c r="H29" s="5" t="s">
        <v>23</v>
      </c>
      <c r="I29" s="5" t="s">
        <v>18</v>
      </c>
      <c r="J29" s="1" t="s">
        <v>5</v>
      </c>
      <c r="K29" s="1">
        <f>VLOOKUP(E29,RatingLookup!$A$2:$B$7,2,FALSE)</f>
        <v>2</v>
      </c>
      <c r="L29" s="1">
        <f>VLOOKUP(F29,RatingLookup!$A$2:$B$7,2,FALSE)</f>
        <v>0</v>
      </c>
      <c r="M29" s="1">
        <f>VLOOKUP(G29,RatingLookup!$A$2:$B$7,2,FALSE)</f>
        <v>0</v>
      </c>
      <c r="N29" s="1">
        <f>VLOOKUP(H29,RatingLookup!$A$2:$B$7,2,FALSE)</f>
        <v>0</v>
      </c>
      <c r="O29" s="1">
        <f>VLOOKUP(I29,RatingLookup!$A$2:$B$7,2,FALSE)</f>
        <v>2</v>
      </c>
      <c r="P29" s="1">
        <f t="shared" si="0"/>
        <v>0.8</v>
      </c>
      <c r="Q29" s="1" t="s">
        <v>19</v>
      </c>
      <c r="R29" s="5" t="s">
        <v>81</v>
      </c>
      <c r="T29" s="5" t="s">
        <v>52</v>
      </c>
      <c r="V29" s="5" t="s">
        <v>82</v>
      </c>
      <c r="W29" s="6">
        <v>42479.381157407406</v>
      </c>
      <c r="X29" s="5" t="s">
        <v>29</v>
      </c>
      <c r="Z29" s="1" t="s">
        <v>22</v>
      </c>
    </row>
    <row r="30" spans="1:26" ht="150" x14ac:dyDescent="0.25">
      <c r="A30" s="1"/>
      <c r="D30" s="1">
        <v>32</v>
      </c>
      <c r="E30" s="5" t="s">
        <v>18</v>
      </c>
      <c r="F30" s="5" t="s">
        <v>18</v>
      </c>
      <c r="G30" s="5" t="s">
        <v>23</v>
      </c>
      <c r="H30" s="5" t="s">
        <v>23</v>
      </c>
      <c r="I30" s="5" t="s">
        <v>23</v>
      </c>
      <c r="J30" s="1" t="s">
        <v>1</v>
      </c>
      <c r="K30" s="1">
        <f>VLOOKUP(E30,RatingLookup!$A$2:$B$7,2,FALSE)</f>
        <v>2</v>
      </c>
      <c r="L30" s="1">
        <f>VLOOKUP(F30,RatingLookup!$A$2:$B$7,2,FALSE)</f>
        <v>2</v>
      </c>
      <c r="M30" s="1">
        <f>VLOOKUP(G30,RatingLookup!$A$2:$B$7,2,FALSE)</f>
        <v>0</v>
      </c>
      <c r="N30" s="1">
        <f>VLOOKUP(H30,RatingLookup!$A$2:$B$7,2,FALSE)</f>
        <v>0</v>
      </c>
      <c r="O30" s="1">
        <f>VLOOKUP(I30,RatingLookup!$A$2:$B$7,2,FALSE)</f>
        <v>0</v>
      </c>
      <c r="P30" s="1">
        <f t="shared" si="0"/>
        <v>0.8</v>
      </c>
      <c r="Q30" s="1" t="s">
        <v>42</v>
      </c>
      <c r="R30" s="5" t="s">
        <v>64</v>
      </c>
      <c r="V30" s="5" t="s">
        <v>140</v>
      </c>
      <c r="W30" s="6">
        <v>42473.750081018516</v>
      </c>
      <c r="Z30" s="1" t="s">
        <v>22</v>
      </c>
    </row>
    <row r="31" spans="1:26" ht="225" x14ac:dyDescent="0.25">
      <c r="A31" s="1"/>
      <c r="D31" s="1">
        <v>23</v>
      </c>
      <c r="E31" s="5" t="s">
        <v>24</v>
      </c>
      <c r="F31" s="5" t="s">
        <v>23</v>
      </c>
      <c r="G31" s="5" t="s">
        <v>24</v>
      </c>
      <c r="H31" s="5" t="s">
        <v>24</v>
      </c>
      <c r="I31" s="5" t="s">
        <v>24</v>
      </c>
      <c r="J31" s="1" t="s">
        <v>3</v>
      </c>
      <c r="K31" s="1">
        <f>VLOOKUP(E31,RatingLookup!$A$2:$B$7,2,FALSE)</f>
        <v>1</v>
      </c>
      <c r="L31" s="1">
        <f>VLOOKUP(F31,RatingLookup!$A$2:$B$7,2,FALSE)</f>
        <v>0</v>
      </c>
      <c r="M31" s="1">
        <f>VLOOKUP(G31,RatingLookup!$A$2:$B$7,2,FALSE)</f>
        <v>1</v>
      </c>
      <c r="N31" s="1">
        <f>VLOOKUP(H31,RatingLookup!$A$2:$B$7,2,FALSE)</f>
        <v>1</v>
      </c>
      <c r="O31" s="1">
        <f>VLOOKUP(I31,RatingLookup!$A$2:$B$7,2,FALSE)</f>
        <v>1</v>
      </c>
      <c r="P31" s="1">
        <f t="shared" si="0"/>
        <v>0.8</v>
      </c>
      <c r="Q31" s="1" t="s">
        <v>26</v>
      </c>
      <c r="R31" s="5" t="s">
        <v>123</v>
      </c>
      <c r="T31" s="5" t="s">
        <v>124</v>
      </c>
      <c r="U31" s="1" t="s">
        <v>40</v>
      </c>
      <c r="V31" s="5" t="s">
        <v>125</v>
      </c>
      <c r="W31" s="6">
        <v>42473.752766203703</v>
      </c>
      <c r="Z31" s="1" t="s">
        <v>22</v>
      </c>
    </row>
    <row r="32" spans="1:26" ht="165" x14ac:dyDescent="0.25">
      <c r="A32" s="1"/>
      <c r="D32" s="1">
        <v>31</v>
      </c>
      <c r="E32" s="5" t="s">
        <v>24</v>
      </c>
      <c r="F32" s="5" t="s">
        <v>18</v>
      </c>
      <c r="G32" s="5" t="s">
        <v>23</v>
      </c>
      <c r="H32" s="5" t="s">
        <v>23</v>
      </c>
      <c r="I32" s="5" t="s">
        <v>23</v>
      </c>
      <c r="J32" s="1" t="s">
        <v>1</v>
      </c>
      <c r="K32" s="1">
        <f>VLOOKUP(E32,RatingLookup!$A$2:$B$7,2,FALSE)</f>
        <v>1</v>
      </c>
      <c r="L32" s="1">
        <f>VLOOKUP(F32,RatingLookup!$A$2:$B$7,2,FALSE)</f>
        <v>2</v>
      </c>
      <c r="M32" s="1">
        <f>VLOOKUP(G32,RatingLookup!$A$2:$B$7,2,FALSE)</f>
        <v>0</v>
      </c>
      <c r="N32" s="1">
        <f>VLOOKUP(H32,RatingLookup!$A$2:$B$7,2,FALSE)</f>
        <v>0</v>
      </c>
      <c r="O32" s="1">
        <f>VLOOKUP(I32,RatingLookup!$A$2:$B$7,2,FALSE)</f>
        <v>0</v>
      </c>
      <c r="P32" s="1">
        <f t="shared" si="0"/>
        <v>0.6</v>
      </c>
      <c r="Q32" s="1" t="s">
        <v>42</v>
      </c>
      <c r="R32" s="5" t="s">
        <v>63</v>
      </c>
      <c r="V32" s="5" t="s">
        <v>139</v>
      </c>
      <c r="W32" s="6">
        <v>42473.75</v>
      </c>
      <c r="Z32" s="1" t="s">
        <v>22</v>
      </c>
    </row>
    <row r="33" spans="1:26" ht="90" x14ac:dyDescent="0.25">
      <c r="A33" s="1"/>
      <c r="D33" s="1">
        <v>30</v>
      </c>
      <c r="E33" s="5" t="s">
        <v>18</v>
      </c>
      <c r="F33" s="5" t="s">
        <v>23</v>
      </c>
      <c r="G33" s="5" t="s">
        <v>23</v>
      </c>
      <c r="H33" s="5" t="s">
        <v>23</v>
      </c>
      <c r="I33" s="5" t="s">
        <v>23</v>
      </c>
      <c r="J33" s="1" t="s">
        <v>1</v>
      </c>
      <c r="K33" s="1">
        <f>VLOOKUP(E33,RatingLookup!$A$2:$B$7,2,FALSE)</f>
        <v>2</v>
      </c>
      <c r="L33" s="1">
        <f>VLOOKUP(F33,RatingLookup!$A$2:$B$7,2,FALSE)</f>
        <v>0</v>
      </c>
      <c r="M33" s="1">
        <f>VLOOKUP(G33,RatingLookup!$A$2:$B$7,2,FALSE)</f>
        <v>0</v>
      </c>
      <c r="N33" s="1">
        <f>VLOOKUP(H33,RatingLookup!$A$2:$B$7,2,FALSE)</f>
        <v>0</v>
      </c>
      <c r="O33" s="1">
        <f>VLOOKUP(I33,RatingLookup!$A$2:$B$7,2,FALSE)</f>
        <v>0</v>
      </c>
      <c r="P33" s="1">
        <f t="shared" si="0"/>
        <v>0.4</v>
      </c>
      <c r="Q33" s="1" t="s">
        <v>26</v>
      </c>
      <c r="R33" s="5" t="s">
        <v>62</v>
      </c>
      <c r="V33" s="5" t="s">
        <v>138</v>
      </c>
      <c r="W33" s="6">
        <v>42473.749895833331</v>
      </c>
      <c r="X33" s="5" t="s">
        <v>43</v>
      </c>
      <c r="Z33" s="1" t="s">
        <v>22</v>
      </c>
    </row>
    <row r="34" spans="1:26" ht="75" x14ac:dyDescent="0.25">
      <c r="A34" s="1"/>
      <c r="D34" s="1">
        <v>33</v>
      </c>
      <c r="E34" s="5" t="s">
        <v>18</v>
      </c>
      <c r="F34" s="5" t="s">
        <v>23</v>
      </c>
      <c r="G34" s="5" t="s">
        <v>23</v>
      </c>
      <c r="H34" s="5" t="s">
        <v>23</v>
      </c>
      <c r="I34" s="5" t="s">
        <v>23</v>
      </c>
      <c r="J34" s="1" t="s">
        <v>1</v>
      </c>
      <c r="K34" s="1">
        <f>VLOOKUP(E34,RatingLookup!$A$2:$B$7,2,FALSE)</f>
        <v>2</v>
      </c>
      <c r="L34" s="1">
        <f>VLOOKUP(F34,RatingLookup!$A$2:$B$7,2,FALSE)</f>
        <v>0</v>
      </c>
      <c r="M34" s="1">
        <f>VLOOKUP(G34,RatingLookup!$A$2:$B$7,2,FALSE)</f>
        <v>0</v>
      </c>
      <c r="N34" s="1">
        <f>VLOOKUP(H34,RatingLookup!$A$2:$B$7,2,FALSE)</f>
        <v>0</v>
      </c>
      <c r="O34" s="1">
        <f>VLOOKUP(I34,RatingLookup!$A$2:$B$7,2,FALSE)</f>
        <v>0</v>
      </c>
      <c r="P34" s="1">
        <f t="shared" si="0"/>
        <v>0.4</v>
      </c>
      <c r="Q34" s="1" t="s">
        <v>26</v>
      </c>
      <c r="R34" s="5" t="s">
        <v>44</v>
      </c>
      <c r="T34" s="5" t="s">
        <v>141</v>
      </c>
      <c r="V34" s="5" t="s">
        <v>142</v>
      </c>
      <c r="W34" s="6">
        <v>42473.750196759262</v>
      </c>
      <c r="Z34" s="1" t="s">
        <v>22</v>
      </c>
    </row>
    <row r="35" spans="1:26" ht="150" x14ac:dyDescent="0.25">
      <c r="A35" s="1"/>
      <c r="D35" s="1">
        <v>8</v>
      </c>
      <c r="E35" s="5" t="s">
        <v>23</v>
      </c>
      <c r="F35" s="5" t="s">
        <v>23</v>
      </c>
      <c r="G35" s="5" t="s">
        <v>23</v>
      </c>
      <c r="H35" s="5" t="s">
        <v>23</v>
      </c>
      <c r="I35" s="5" t="s">
        <v>18</v>
      </c>
      <c r="J35" s="1" t="s">
        <v>5</v>
      </c>
      <c r="K35" s="1">
        <f>VLOOKUP(E35,RatingLookup!$A$2:$B$7,2,FALSE)</f>
        <v>0</v>
      </c>
      <c r="L35" s="1">
        <f>VLOOKUP(F35,RatingLookup!$A$2:$B$7,2,FALSE)</f>
        <v>0</v>
      </c>
      <c r="M35" s="1">
        <f>VLOOKUP(G35,RatingLookup!$A$2:$B$7,2,FALSE)</f>
        <v>0</v>
      </c>
      <c r="N35" s="1">
        <f>VLOOKUP(H35,RatingLookup!$A$2:$B$7,2,FALSE)</f>
        <v>0</v>
      </c>
      <c r="O35" s="1">
        <f>VLOOKUP(I35,RatingLookup!$A$2:$B$7,2,FALSE)</f>
        <v>2</v>
      </c>
      <c r="P35" s="1">
        <f t="shared" si="0"/>
        <v>0.4</v>
      </c>
      <c r="Q35" s="1" t="s">
        <v>30</v>
      </c>
      <c r="R35" s="5" t="s">
        <v>87</v>
      </c>
      <c r="T35" s="5" t="s">
        <v>54</v>
      </c>
      <c r="V35" s="5" t="s">
        <v>88</v>
      </c>
      <c r="W35" s="6">
        <v>42473.743622685186</v>
      </c>
      <c r="X35" s="5" t="s">
        <v>29</v>
      </c>
      <c r="Z35" s="1" t="s">
        <v>22</v>
      </c>
    </row>
    <row r="36" spans="1:26" ht="90" x14ac:dyDescent="0.25">
      <c r="A36" s="1"/>
      <c r="D36" s="1">
        <v>9</v>
      </c>
      <c r="E36" s="5" t="s">
        <v>23</v>
      </c>
      <c r="F36" s="5" t="s">
        <v>23</v>
      </c>
      <c r="G36" s="5" t="s">
        <v>23</v>
      </c>
      <c r="H36" s="5" t="s">
        <v>23</v>
      </c>
      <c r="I36" s="5" t="s">
        <v>18</v>
      </c>
      <c r="J36" s="1" t="s">
        <v>5</v>
      </c>
      <c r="K36" s="1">
        <f>VLOOKUP(E36,RatingLookup!$A$2:$B$7,2,FALSE)</f>
        <v>0</v>
      </c>
      <c r="L36" s="1">
        <f>VLOOKUP(F36,RatingLookup!$A$2:$B$7,2,FALSE)</f>
        <v>0</v>
      </c>
      <c r="M36" s="1">
        <f>VLOOKUP(G36,RatingLookup!$A$2:$B$7,2,FALSE)</f>
        <v>0</v>
      </c>
      <c r="N36" s="1">
        <f>VLOOKUP(H36,RatingLookup!$A$2:$B$7,2,FALSE)</f>
        <v>0</v>
      </c>
      <c r="O36" s="1">
        <f>VLOOKUP(I36,RatingLookup!$A$2:$B$7,2,FALSE)</f>
        <v>2</v>
      </c>
      <c r="P36" s="1">
        <f t="shared" si="0"/>
        <v>0.4</v>
      </c>
      <c r="Q36" s="1" t="s">
        <v>19</v>
      </c>
      <c r="R36" s="5" t="s">
        <v>89</v>
      </c>
      <c r="T36" s="5" t="s">
        <v>32</v>
      </c>
      <c r="V36" s="5" t="s">
        <v>90</v>
      </c>
      <c r="W36" s="6">
        <v>42473.743773148148</v>
      </c>
      <c r="X36" s="5" t="s">
        <v>29</v>
      </c>
      <c r="Z36" s="1" t="s">
        <v>22</v>
      </c>
    </row>
    <row r="37" spans="1:26" ht="90" x14ac:dyDescent="0.25">
      <c r="A37" s="1"/>
      <c r="D37" s="1">
        <v>2</v>
      </c>
      <c r="E37" s="5" t="s">
        <v>23</v>
      </c>
      <c r="F37" s="5" t="s">
        <v>23</v>
      </c>
      <c r="G37" s="5" t="s">
        <v>23</v>
      </c>
      <c r="H37" s="5" t="s">
        <v>23</v>
      </c>
      <c r="I37" s="5" t="s">
        <v>23</v>
      </c>
      <c r="J37" s="1" t="s">
        <v>5</v>
      </c>
      <c r="K37" s="1">
        <f>VLOOKUP(E37,RatingLookup!$A$2:$B$7,2,FALSE)</f>
        <v>0</v>
      </c>
      <c r="L37" s="1">
        <f>VLOOKUP(F37,RatingLookup!$A$2:$B$7,2,FALSE)</f>
        <v>0</v>
      </c>
      <c r="M37" s="1">
        <f>VLOOKUP(G37,RatingLookup!$A$2:$B$7,2,FALSE)</f>
        <v>0</v>
      </c>
      <c r="N37" s="1">
        <f>VLOOKUP(H37,RatingLookup!$A$2:$B$7,2,FALSE)</f>
        <v>0</v>
      </c>
      <c r="O37" s="1">
        <f>VLOOKUP(I37,RatingLookup!$A$2:$B$7,2,FALSE)</f>
        <v>0</v>
      </c>
      <c r="P37" s="1">
        <f t="shared" si="0"/>
        <v>0</v>
      </c>
      <c r="Q37" s="1" t="s">
        <v>19</v>
      </c>
      <c r="R37" s="5" t="s">
        <v>75</v>
      </c>
      <c r="T37" s="5" t="s">
        <v>48</v>
      </c>
      <c r="V37" s="5" t="s">
        <v>76</v>
      </c>
      <c r="W37" s="6">
        <v>42473.741944444446</v>
      </c>
      <c r="Z37" s="1" t="s">
        <v>22</v>
      </c>
    </row>
    <row r="38" spans="1:26" ht="45" x14ac:dyDescent="0.25">
      <c r="A38" s="1"/>
      <c r="D38" s="1">
        <v>12</v>
      </c>
      <c r="E38" s="5" t="s">
        <v>23</v>
      </c>
      <c r="F38" s="5" t="s">
        <v>23</v>
      </c>
      <c r="G38" s="5" t="s">
        <v>23</v>
      </c>
      <c r="H38" s="5" t="s">
        <v>23</v>
      </c>
      <c r="I38" s="5" t="s">
        <v>23</v>
      </c>
      <c r="J38" s="1" t="s">
        <v>5</v>
      </c>
      <c r="K38" s="1">
        <f>VLOOKUP(E38,RatingLookup!$A$2:$B$7,2,FALSE)</f>
        <v>0</v>
      </c>
      <c r="L38" s="1">
        <f>VLOOKUP(F38,RatingLookup!$A$2:$B$7,2,FALSE)</f>
        <v>0</v>
      </c>
      <c r="M38" s="1">
        <f>VLOOKUP(G38,RatingLookup!$A$2:$B$7,2,FALSE)</f>
        <v>0</v>
      </c>
      <c r="N38" s="1">
        <f>VLOOKUP(H38,RatingLookup!$A$2:$B$7,2,FALSE)</f>
        <v>0</v>
      </c>
      <c r="O38" s="1">
        <f>VLOOKUP(I38,RatingLookup!$A$2:$B$7,2,FALSE)</f>
        <v>0</v>
      </c>
      <c r="P38" s="1">
        <f t="shared" si="0"/>
        <v>0</v>
      </c>
      <c r="R38" s="5" t="s">
        <v>95</v>
      </c>
      <c r="V38" s="5" t="s">
        <v>96</v>
      </c>
      <c r="W38" s="6">
        <v>42473.744363425925</v>
      </c>
      <c r="Z38" s="1" t="s">
        <v>22</v>
      </c>
    </row>
    <row r="39" spans="1:26" x14ac:dyDescent="0.25">
      <c r="A39" s="1"/>
    </row>
    <row r="40" spans="1:26" x14ac:dyDescent="0.25">
      <c r="A40" s="1"/>
    </row>
    <row r="41" spans="1:26" x14ac:dyDescent="0.25">
      <c r="A41" s="1"/>
    </row>
    <row r="42" spans="1:26" x14ac:dyDescent="0.25">
      <c r="A42" s="1"/>
    </row>
    <row r="43" spans="1:26" x14ac:dyDescent="0.25">
      <c r="A43" s="1"/>
    </row>
    <row r="44" spans="1:26" x14ac:dyDescent="0.25">
      <c r="A44" s="1"/>
    </row>
    <row r="45" spans="1:26" x14ac:dyDescent="0.25">
      <c r="A45" s="1"/>
    </row>
  </sheetData>
  <autoFilter ref="B1:Z45"/>
  <sortState ref="B2:AA45">
    <sortCondition descending="1" ref="P2:P45"/>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election activeCell="C11" sqref="C11"/>
    </sheetView>
  </sheetViews>
  <sheetFormatPr defaultRowHeight="15" x14ac:dyDescent="0.25"/>
  <sheetData>
    <row r="1" spans="1:2" x14ac:dyDescent="0.25">
      <c r="A1" t="s">
        <v>151</v>
      </c>
      <c r="B1" t="s">
        <v>152</v>
      </c>
    </row>
    <row r="2" spans="1:2" x14ac:dyDescent="0.25">
      <c r="B2">
        <v>0</v>
      </c>
    </row>
    <row r="3" spans="1:2" x14ac:dyDescent="0.25">
      <c r="A3" t="s">
        <v>23</v>
      </c>
      <c r="B3">
        <v>0</v>
      </c>
    </row>
    <row r="4" spans="1:2" x14ac:dyDescent="0.25">
      <c r="A4" t="s">
        <v>24</v>
      </c>
      <c r="B4">
        <v>1</v>
      </c>
    </row>
    <row r="5" spans="1:2" x14ac:dyDescent="0.25">
      <c r="A5" t="s">
        <v>18</v>
      </c>
      <c r="B5">
        <v>2</v>
      </c>
    </row>
    <row r="6" spans="1:2" x14ac:dyDescent="0.25">
      <c r="A6" t="s">
        <v>17</v>
      </c>
      <c r="B6">
        <v>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435D0BD408ACF46BC3778DF7D9C5A21" ma:contentTypeVersion="19" ma:contentTypeDescription="Create a new document." ma:contentTypeScope="" ma:versionID="6b698b0a7e09125426c645dc322643e5">
  <xsd:schema xmlns:xsd="http://www.w3.org/2001/XMLSchema" xmlns:xs="http://www.w3.org/2001/XMLSchema" xmlns:p="http://schemas.microsoft.com/office/2006/metadata/properties" xmlns:ns1="http://schemas.microsoft.com/sharepoint/v3" xmlns:ns2="0405393e-e8dd-46da-8b72-5ab5d324d013" xmlns:ns3="c5ee895f-5561-4e6f-9b52-24b237278cf6" targetNamespace="http://schemas.microsoft.com/office/2006/metadata/properties" ma:root="true" ma:fieldsID="2d4693053a1608011da8324eeb8d7592" ns1:_="" ns2:_="" ns3:_="">
    <xsd:import namespace="http://schemas.microsoft.com/sharepoint/v3"/>
    <xsd:import namespace="0405393e-e8dd-46da-8b72-5ab5d324d013"/>
    <xsd:import namespace="c5ee895f-5561-4e6f-9b52-24b237278cf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1:_ip_UnifiedCompliancePolicyProperties" minOccurs="0"/>
                <xsd:element ref="ns1:_ip_UnifiedCompliancePolicyUIAction"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DateTaken"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405393e-e8dd-46da-8b72-5ab5d324d0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06447a5-99ff-4978-b0a4-6dbeac584e17"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DateTaken" ma:index="24" nillable="true" ma:displayName="MediaServiceDateTaken" ma:hidden="true" ma:indexed="true" ma:internalName="MediaServiceDateTaken" ma:readOnly="true">
      <xsd:simpleType>
        <xsd:restriction base="dms:Text"/>
      </xsd:simpleType>
    </xsd:element>
    <xsd:element name="MediaServiceLocation" ma:index="25" nillable="true" ma:displayName="Location" ma:indexed="true" ma:internalName="MediaServiceLocation"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5ee895f-5561-4e6f-9b52-24b237278cf6"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f8a272d0-4f71-4b99-b0de-a8d91edd5df7}" ma:internalName="TaxCatchAll" ma:showField="CatchAllData" ma:web="c5ee895f-5561-4e6f-9b52-24b237278cf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c5ee895f-5561-4e6f-9b52-24b237278cf6" xsi:nil="true"/>
    <_ip_UnifiedCompliancePolicyUIAction xmlns="http://schemas.microsoft.com/sharepoint/v3" xsi:nil="true"/>
    <_ip_UnifiedCompliancePolicyProperties xmlns="http://schemas.microsoft.com/sharepoint/v3" xsi:nil="true"/>
    <lcf76f155ced4ddcb4097134ff3c332f xmlns="0405393e-e8dd-46da-8b72-5ab5d324d013">
      <Terms xmlns="http://schemas.microsoft.com/office/infopath/2007/PartnerControls"/>
    </lcf76f155ced4ddcb4097134ff3c332f>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6EFC8A7A3DA1F14EBB167B5641ACA85B" ma:contentTypeVersion="0" ma:contentTypeDescription="Create a new document." ma:contentTypeScope="" ma:versionID="88eb00bb7f327d7a60b031fd08c4ca63">
  <xsd:schema xmlns:xsd="http://www.w3.org/2001/XMLSchema" xmlns:xs="http://www.w3.org/2001/XMLSchema" xmlns:p="http://schemas.microsoft.com/office/2006/metadata/properties" xmlns:ns2="5f032d97-5815-4021-87f6-3511a70699a4" xmlns:ns3="$ListId:SharedDocuments;" xmlns:ns4="f6635943-dd24-4038-9c1d-a59cb22f25ea" targetNamespace="http://schemas.microsoft.com/office/2006/metadata/properties" ma:root="true" ma:fieldsID="9157f85eb523926f56981c376f119628" ns2:_="" ns3:_="" ns4:_="">
    <xsd:import namespace="5f032d97-5815-4021-87f6-3511a70699a4"/>
    <xsd:import namespace="$ListId:SharedDocuments;"/>
    <xsd:import namespace="f6635943-dd24-4038-9c1d-a59cb22f25ea"/>
    <xsd:element name="properties">
      <xsd:complexType>
        <xsd:sequence>
          <xsd:element name="documentManagement">
            <xsd:complexType>
              <xsd:all>
                <xsd:element ref="ns2:_dlc_DocId" minOccurs="0"/>
                <xsd:element ref="ns2:_dlc_DocIdUrl" minOccurs="0"/>
                <xsd:element ref="ns2:_dlc_DocIdPersistId" minOccurs="0"/>
                <xsd:element ref="ns3:j4c6bab879da40ec9ff98e9515e465f3" minOccurs="0"/>
                <xsd:element ref="ns2:TaxCatchAll" minOccurs="0"/>
                <xsd:element ref="ns3:k158a365d30042c1baeccd98745bf3ee" minOccurs="0"/>
                <xsd:element ref="ns3:e83e84e497c24859aa3e1613e6f53f8a" minOccurs="0"/>
                <xsd:element ref="ns4:g7aefdda48c245b2b0fc7c5f7193b215"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032d97-5815-4021-87f6-3511a70699a4"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3" nillable="true" ma:displayName="Taxonomy Catch All Column" ma:description="" ma:hidden="true" ma:list="{ccf2c0bf-ff3f-4123-8f71-0056d45ec6bd}" ma:internalName="TaxCatchAll" ma:showField="CatchAllData" ma:web="5f032d97-5815-4021-87f6-3511a70699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ListId:SharedDocuments;" elementFormDefault="qualified">
    <xsd:import namespace="http://schemas.microsoft.com/office/2006/documentManagement/types"/>
    <xsd:import namespace="http://schemas.microsoft.com/office/infopath/2007/PartnerControls"/>
    <xsd:element name="j4c6bab879da40ec9ff98e9515e465f3" ma:index="12" nillable="true" ma:taxonomy="true" ma:internalName="j4c6bab879da40ec9ff98e9515e465f3" ma:taxonomyFieldName="Doc_x0020_Type" ma:displayName="Doc Type" ma:default="" ma:fieldId="{34c6bab8-79da-40ec-9ff9-8e9515e465f3}" ma:sspId="d277a3b9-df29-4fe2-988c-ead875e1bfaa" ma:termSetId="2eb3fac6-a6fc-4102-ad44-b3370a3bb49a" ma:anchorId="00000000-0000-0000-0000-000000000000" ma:open="false" ma:isKeyword="false">
      <xsd:complexType>
        <xsd:sequence>
          <xsd:element ref="pc:Terms" minOccurs="0" maxOccurs="1"/>
        </xsd:sequence>
      </xsd:complexType>
    </xsd:element>
    <xsd:element name="k158a365d30042c1baeccd98745bf3ee" ma:index="15" nillable="true" ma:taxonomy="true" ma:internalName="k158a365d30042c1baeccd98745bf3ee" ma:taxonomyFieldName="Meeting_x0020_Type" ma:displayName="Meeting Type" ma:default="" ma:fieldId="{4158a365-d300-42c1-baec-cd98745bf3ee}" ma:sspId="d277a3b9-df29-4fe2-988c-ead875e1bfaa" ma:termSetId="280b3808-25c8-4e4d-aedf-546bb12ec1c9" ma:anchorId="00000000-0000-0000-0000-000000000000" ma:open="false" ma:isKeyword="false">
      <xsd:complexType>
        <xsd:sequence>
          <xsd:element ref="pc:Terms" minOccurs="0" maxOccurs="1"/>
        </xsd:sequence>
      </xsd:complexType>
    </xsd:element>
    <xsd:element name="e83e84e497c24859aa3e1613e6f53f8a" ma:index="17" nillable="true" ma:taxonomy="true" ma:internalName="e83e84e497c24859aa3e1613e6f53f8a" ma:taxonomyFieldName="Keywords" ma:displayName="Keywords" ma:readOnly="false" ma:default="" ma:fieldId="{e83e84e4-97c2-4859-aa3e-1613e6f53f8a}" ma:taxonomyMulti="true" ma:sspId="d277a3b9-df29-4fe2-988c-ead875e1bfaa" ma:termSetId="53347220-d115-4122-9fd4-deef1ba34d71"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6635943-dd24-4038-9c1d-a59cb22f25ea" elementFormDefault="qualified">
    <xsd:import namespace="http://schemas.microsoft.com/office/2006/documentManagement/types"/>
    <xsd:import namespace="http://schemas.microsoft.com/office/infopath/2007/PartnerControls"/>
    <xsd:element name="g7aefdda48c245b2b0fc7c5f7193b215" ma:index="19" nillable="true" ma:taxonomy="true" ma:internalName="g7aefdda48c245b2b0fc7c5f7193b215" ma:taxonomyFieldName="Project_x0020_Keywords" ma:displayName="Project Keywords" ma:default="" ma:fieldId="{07aefdda-48c2-45b2-b0fc-7c5f7193b215}" ma:sspId="d277a3b9-df29-4fe2-988c-ead875e1bfaa" ma:termSetId="5c749a20-6045-42b1-bb6d-ffaeab4f53d5"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ma:index="16" ma:displayName="Keywords"/>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80A75FB-37D4-4508-A1BD-869A61A1F64E}">
  <ds:schemaRefs>
    <ds:schemaRef ds:uri="http://schemas.microsoft.com/sharepoint/v3/contenttype/forms"/>
  </ds:schemaRefs>
</ds:datastoreItem>
</file>

<file path=customXml/itemProps2.xml><?xml version="1.0" encoding="utf-8"?>
<ds:datastoreItem xmlns:ds="http://schemas.openxmlformats.org/officeDocument/2006/customXml" ds:itemID="{68F8F004-8F3E-47F2-B554-759EC01EAD6C}"/>
</file>

<file path=customXml/itemProps3.xml><?xml version="1.0" encoding="utf-8"?>
<ds:datastoreItem xmlns:ds="http://schemas.openxmlformats.org/officeDocument/2006/customXml" ds:itemID="{C61F6C75-8673-4347-AC7B-653132FE9C5E}">
  <ds:schemaRefs>
    <ds:schemaRef ds:uri="http://purl.org/dc/elements/1.1/"/>
    <ds:schemaRef ds:uri="http://purl.org/dc/terms/"/>
    <ds:schemaRef ds:uri="http://purl.org/dc/dcmitype/"/>
    <ds:schemaRef ds:uri="http://schemas.microsoft.com/office/2006/documentManagement/types"/>
    <ds:schemaRef ds:uri="http://schemas.microsoft.com/office/infopath/2007/PartnerControls"/>
    <ds:schemaRef ds:uri="5f032d97-5815-4021-87f6-3511a70699a4"/>
    <ds:schemaRef ds:uri="http://schemas.openxmlformats.org/package/2006/metadata/core-properties"/>
    <ds:schemaRef ds:uri="http://schemas.microsoft.com/office/2006/metadata/properties"/>
    <ds:schemaRef ds:uri="f6635943-dd24-4038-9c1d-a59cb22f25ea"/>
    <ds:schemaRef ds:uri="$ListId:SharedDocuments;"/>
    <ds:schemaRef ds:uri="http://www.w3.org/XML/1998/namespace"/>
  </ds:schemaRefs>
</ds:datastoreItem>
</file>

<file path=customXml/itemProps4.xml><?xml version="1.0" encoding="utf-8"?>
<ds:datastoreItem xmlns:ds="http://schemas.openxmlformats.org/officeDocument/2006/customXml" ds:itemID="{C6721AAE-7CD0-445C-92A0-D9F5B4FB1C1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032d97-5815-4021-87f6-3511a70699a4"/>
    <ds:schemaRef ds:uri="$ListId:SharedDocuments;"/>
    <ds:schemaRef ds:uri="f6635943-dd24-4038-9c1d-a59cb22f25e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RatingLookup</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McFarland, Rebecca</dc:creator>
  <cp:keywords>191;#Requirements|e45b554f-2091-4d13-9b38-6b4d144488b6</cp:keywords>
  <cp:lastModifiedBy>Morrissey, Bevin</cp:lastModifiedBy>
  <dcterms:created xsi:type="dcterms:W3CDTF">2016-07-06T17:04:13Z</dcterms:created>
  <dcterms:modified xsi:type="dcterms:W3CDTF">2016-10-19T13:40:11Z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0x0101006435D0BD408ACF46BC3778DF7D9C5A21</vt:lpwstr>
  </property>
  <property fmtid="{D5CDD505-2E9C-101B-9397-08002B2CF9AE}" pid="3" name="_dlc_DocIdItemGuid">
    <vt:lpwstr>a4c02d72-d58f-4e3a-af3e-5069cf47384f</vt:lpwstr>
  </property>
  <property fmtid="{D5CDD505-2E9C-101B-9397-08002B2CF9AE}" pid="4" name="Doc Type">
    <vt:lpwstr>180</vt:lpwstr>
  </property>
  <property fmtid="{D5CDD505-2E9C-101B-9397-08002B2CF9AE}" pid="5" name="MediaServiceImageTags">
    <vt:lpwstr/>
  </property>
</Properties>
</file>