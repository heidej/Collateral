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18195" windowHeight="11760"/>
  </bookViews>
  <sheets>
    <sheet name="Sheet1" sheetId="2" r:id="rId1"/>
    <sheet name="RatingLookup" sheetId="3" r:id="rId2"/>
  </sheets>
  <definedNames>
    <definedName name="_xlnm._FilterDatabase" localSheetId="0" hidden="1">Sheet1!$B$1:$Z$29</definedName>
  </definedNames>
  <calcPr calcId="145621"/>
</workbook>
</file>

<file path=xl/calcChain.xml><?xml version="1.0" encoding="utf-8"?>
<calcChain xmlns="http://schemas.openxmlformats.org/spreadsheetml/2006/main">
  <c r="M19" i="2" l="1"/>
  <c r="O22" i="2"/>
  <c r="O9" i="2"/>
  <c r="O3" i="2"/>
  <c r="O2" i="2"/>
  <c r="O8" i="2"/>
  <c r="O18" i="2"/>
  <c r="O21" i="2"/>
  <c r="O16" i="2"/>
  <c r="O15" i="2"/>
  <c r="O7" i="2"/>
  <c r="O6" i="2"/>
  <c r="O5" i="2"/>
  <c r="O17" i="2"/>
  <c r="O14" i="2"/>
  <c r="O12" i="2"/>
  <c r="O11" i="2"/>
  <c r="O13" i="2"/>
  <c r="O19" i="2"/>
  <c r="O20" i="2"/>
  <c r="O4" i="2"/>
  <c r="O10" i="2"/>
  <c r="N22" i="2"/>
  <c r="N9" i="2"/>
  <c r="N3" i="2"/>
  <c r="N2" i="2"/>
  <c r="N8" i="2"/>
  <c r="N18" i="2"/>
  <c r="N21" i="2"/>
  <c r="N16" i="2"/>
  <c r="N15" i="2"/>
  <c r="N7" i="2"/>
  <c r="N6" i="2"/>
  <c r="N5" i="2"/>
  <c r="N17" i="2"/>
  <c r="N14" i="2"/>
  <c r="N12" i="2"/>
  <c r="N11" i="2"/>
  <c r="N13" i="2"/>
  <c r="N19" i="2"/>
  <c r="N20" i="2"/>
  <c r="N4" i="2"/>
  <c r="N10" i="2"/>
  <c r="M22" i="2"/>
  <c r="M9" i="2"/>
  <c r="M3" i="2"/>
  <c r="M2" i="2"/>
  <c r="M8" i="2"/>
  <c r="M18" i="2"/>
  <c r="M21" i="2"/>
  <c r="M16" i="2"/>
  <c r="M15" i="2"/>
  <c r="M7" i="2"/>
  <c r="M6" i="2"/>
  <c r="M5" i="2"/>
  <c r="M17" i="2"/>
  <c r="M14" i="2"/>
  <c r="M12" i="2"/>
  <c r="M11" i="2"/>
  <c r="M13" i="2"/>
  <c r="M20" i="2"/>
  <c r="M4" i="2"/>
  <c r="M10" i="2"/>
  <c r="L22" i="2"/>
  <c r="L9" i="2"/>
  <c r="L3" i="2"/>
  <c r="L2" i="2"/>
  <c r="L8" i="2"/>
  <c r="L18" i="2"/>
  <c r="L21" i="2"/>
  <c r="L16" i="2"/>
  <c r="L15" i="2"/>
  <c r="L7" i="2"/>
  <c r="L6" i="2"/>
  <c r="L5" i="2"/>
  <c r="L17" i="2"/>
  <c r="L14" i="2"/>
  <c r="L12" i="2"/>
  <c r="L11" i="2"/>
  <c r="L13" i="2"/>
  <c r="L19" i="2"/>
  <c r="L20" i="2"/>
  <c r="L4" i="2"/>
  <c r="L10" i="2"/>
  <c r="K22" i="2"/>
  <c r="K9" i="2"/>
  <c r="K3" i="2"/>
  <c r="K2" i="2"/>
  <c r="K8" i="2"/>
  <c r="K18" i="2"/>
  <c r="K21" i="2"/>
  <c r="K16" i="2"/>
  <c r="K15" i="2"/>
  <c r="K7" i="2"/>
  <c r="K6" i="2"/>
  <c r="K5" i="2"/>
  <c r="K17" i="2"/>
  <c r="K14" i="2"/>
  <c r="K12" i="2"/>
  <c r="K11" i="2"/>
  <c r="K13" i="2"/>
  <c r="K19" i="2"/>
  <c r="K20" i="2"/>
  <c r="K4" i="2"/>
  <c r="K10" i="2"/>
  <c r="P19" i="2" l="1"/>
  <c r="P2" i="2"/>
  <c r="P20" i="2"/>
  <c r="P5" i="2"/>
  <c r="P7" i="2"/>
  <c r="P21" i="2"/>
  <c r="P8" i="2"/>
  <c r="P3" i="2"/>
  <c r="P9" i="2"/>
  <c r="P22" i="2"/>
  <c r="P12" i="2"/>
  <c r="P14" i="2"/>
  <c r="P17" i="2"/>
  <c r="P4" i="2"/>
  <c r="P11" i="2"/>
  <c r="P6" i="2"/>
  <c r="P16" i="2"/>
  <c r="P18" i="2"/>
  <c r="P15" i="2"/>
  <c r="P10" i="2"/>
  <c r="P13" i="2"/>
</calcChain>
</file>

<file path=xl/sharedStrings.xml><?xml version="1.0" encoding="utf-8"?>
<sst xmlns="http://schemas.openxmlformats.org/spreadsheetml/2006/main" count="297" uniqueCount="114">
  <si>
    <t>Originator</t>
  </si>
  <si>
    <t>FCE</t>
  </si>
  <si>
    <t>YKE</t>
  </si>
  <si>
    <t>AgC</t>
  </si>
  <si>
    <t>FCW</t>
  </si>
  <si>
    <t>NW</t>
  </si>
  <si>
    <t>Requestor Priority</t>
  </si>
  <si>
    <t>Description</t>
  </si>
  <si>
    <t>Business Need</t>
  </si>
  <si>
    <t>Comments</t>
  </si>
  <si>
    <t>Interested Associations</t>
  </si>
  <si>
    <t>Size</t>
  </si>
  <si>
    <t>FPI Resource</t>
  </si>
  <si>
    <t>Solution</t>
  </si>
  <si>
    <t>ID</t>
  </si>
  <si>
    <t>Modified</t>
  </si>
  <si>
    <t>Path</t>
  </si>
  <si>
    <t>Before EmP-web</t>
  </si>
  <si>
    <t>After EmP-web</t>
  </si>
  <si>
    <t>High</t>
  </si>
  <si>
    <t>Very Large</t>
  </si>
  <si>
    <t>CW</t>
  </si>
  <si>
    <t>Workspaces/Shared/WorkPlanOC/Lists/Collateral Web Enhancements</t>
  </si>
  <si>
    <t>Withdrawn</t>
  </si>
  <si>
    <t>On Hold</t>
  </si>
  <si>
    <t>Business Need: Regulatory compliance requires we document and maintain structural flood zone information for the lifetime of applicable loans. The only way users can do this now is by entering the information in the Description field. While this does satisfy the compliance requirement, there is still a high risk of human error and we are unable to use any information in the Description field for reporting purposes. What we are seeing is without a visible field, users are forgetting to input flood zone information. Furthermore, information entered in a description field cannot pull into the Collateral Universe. A Flood Zone field tied to the Collateral Universe will enable our Business Intelligence team to generate reports with flood zone information when regulators require it. This currently would be a manual process.</t>
  </si>
  <si>
    <t>Medium</t>
  </si>
  <si>
    <t>PS</t>
  </si>
  <si>
    <t>Config Only</t>
  </si>
  <si>
    <t>Northwest</t>
  </si>
  <si>
    <t>Minor</t>
  </si>
  <si>
    <t>This came up to be in a training in Seattle Fisheries; however, the credit officer who made this suggestion is no longer at Northwest. I haven’t heard it elsewhere so it’s probably a low priority.</t>
  </si>
  <si>
    <t>This would help ensure that UCC's are properly recorded when necessary</t>
  </si>
  <si>
    <t>Farm Credit West</t>
  </si>
  <si>
    <t>Large</t>
  </si>
  <si>
    <t>INC0157904</t>
  </si>
  <si>
    <t xml:space="preserve"> INC0156420</t>
  </si>
  <si>
    <t>Low</t>
  </si>
  <si>
    <t>Farm Credit East</t>
  </si>
  <si>
    <t xml:space="preserve">
​Configuration only change, add a new Other Information Topic Panel. This flows all the way to MR already so no additional work.</t>
  </si>
  <si>
    <t>Business Need: Procedure is to include Income Capacity of Real Estate information in the Credit Summary; however this does not always happen. Creating this field as a Real Property collateral attribute would enable consistency in completing credit analysis, improved compliance with procedure and ease in finding the information. Note – this field would not be required as it only needs to be completed when the property value is &gt;$250k.</t>
  </si>
  <si>
    <t xml:space="preserve">
​This could all be done via Configs. Add a new Question in Check All That apply, and if checked, display a new Other Info Topic Panel to gather this info. Already flows to MR as well.</t>
  </si>
  <si>
    <t>a. Business Need: All of the Collateral Analysis process with field staff is ultimately to determine the LGD on the loan. Displaying the end result of all the ratio and security analysis will put a “bow” on the Collateral package, and give insight into when the LGD may be different than what they had intended. This will increase efficiency and decrease the frequency of previously-submitted scenarios having to be touched in CW. It should also decrease a few of the Transfer Scenario instances and Technical Amendments.
b. Need to Discuss: Would NW also want to add the LGD to the Calc Overview section as shown below, especially since a screen shot is taken of this and pasted into the current Credit Summary?</t>
  </si>
  <si>
    <t>Business Need. Analysis efficiency and loan identification. The loan # is not meaningful to most users from an identification perspective, but the account title is very meaningful since July 2013.</t>
  </si>
  <si>
    <t xml:space="preserve">
​Add New Link in the Scenario Drop Down called "Historic Scenarios". When clicked, open a new Modal that brings back all Historic Scenarios for this Customer and related Customers. Add Buttons to Close window or Open Historic Scenario Read Only. Submit button needs to be clickable but still read only. Non Issue for Empower Web as this is already planned.</t>
  </si>
  <si>
    <t xml:space="preserve">
​Change logic to always refresh from linked loan action for group changes when refreshing scenario or opening scenario.</t>
  </si>
  <si>
    <t xml:space="preserve">
​Once a Scenario has anything being edited in a System scope, then any other Scenarios would lock that system scope out from changes and inform the user as to why it is locked.  Would also need to prevent during the opening/linking Commitment Action to Scenario and/or creating Scenario, that if the loan is in a locked system scope then a new scenario wont be created.</t>
  </si>
  <si>
    <t xml:space="preserve">
​Always bring back UCC's tied to closed loans and show them as orphaned UCC's.  Fix the deletion issue where they get submitted even if not tied to a Sec Agree. Non issue for Empower Web as the UCC Maintenance Utility will always bring them back.</t>
  </si>
  <si>
    <t xml:space="preserve">
​Show Building Type, Description and Value as child Grid under each Detail RE record and allow only the entire buiklding to be releases. Also properly recalculate the MV improvements value.  We show them the building grid on the partial release panel and let them check the "buildings" that they want to release.  Then do a calculation to reduce the MV improvements by that amount.
If we are changing this section and pushing to MV improvements should we also add a MV vs. MV improvement fields so they can parcel the amount to release between the two (Noticed by FCE). </t>
  </si>
  <si>
    <t>Example of issue: If $5,000,000 of the Face Amount was on property with an NRV of $1,000,000 and $645,000 of face amount was on property valued at $10,0000,000 the most that could be collected is $1,645,000 which is less than the combined loan amount thus it would be limited.
Additional details in email saved under "Calculations" for EmPower Web...SLR email.</t>
  </si>
  <si>
    <t>collateral ratios are not using peak amount like they should which forces users to override all-in loan amount. This shouldn't be necessary.</t>
  </si>
  <si>
    <t>Goal is to reduce the number of multiple collateral scenarios. It is probably infrequent that staff would want to create multiple scenarios for the same group of loans. Would like a warning if possible. It is one of the enhancement discussed in the attached email.</t>
  </si>
  <si>
    <t xml:space="preserve">This is how I understand the lock in Collateral Web. When entering collateral web it defaults to current production. It is not until you change to a different scenario that the lock message appears (see Ryan’s email below for testing he did). The message fades away.
Request is to make the lock work more like Credit Pro…See Kate’s email. Should get the lock message as soon as you enter the customer and have user click to continue.
</t>
  </si>
  <si>
    <t>‘Flood Zone’ Field in Real Property Smart Data Wizard Description: Add a Flood Zone field to the Buildings and Improvements panel for Real Property collateral. This field is net-new.</t>
  </si>
  <si>
    <t>NW - Agreed need to have this one due to compliance requirements.  This is for the FEMA indicator and there is not a place for it currently.
YKE: review your configurations as this field is available at both the Summary and Detail level for Yankee when you check the All that Apply box. The Buildings panel has the Flood Haz fields. Unless what you are looking for is the actual Flood Zone indicator itself (value from a map)
FCW - We are reviewing this internally to determine how this needs to be captured.  We don't use the Buildings panel, but (per Yankee) should look into this, as it would be nice for reporting.
FCE - We don't see a need for this at FCE, we simply track whether or not insurance is required at this point.  We use the "in flood zone" indicator on the building tab.</t>
  </si>
  <si>
    <t>Income Capacity of Real Estate Option in Real Property Smart Data Wizard Description: Add an attribute in the Real Property smart data wizard to input Income Capacity of Real Estate information for loans secured by property &gt;$250k. At Northwest FCS, if a loan is &gt;$250k and includes real property collateral, the normalized income capacity must be identified for that piece of real estate. We compare normalized income capacity to the required debt service of the loans secured to the property to determine whether the property itself has adequate income potential to service the debt or whether the borrower would need to rely on other sources for repayment.</t>
  </si>
  <si>
    <t>AgC Comments: This was on the original CW requirements list as #41, Build ML DCR calculator. All assocations do a variation of this, but AgCountry agreed to engage our Custom Solutions Group to develop a solution for AgCountry. (BT)
NW- The field would be needed when the loan amount is &gt; $250k not the property value. The attribute could read: If loans is great than $250K complete income capacity of real estate comments.
YKE: We are doing this now completely outside of any FPI provided system (in Excel). Then post to ECB. Not efficient and not available in anyway for reporting. This is a great suggestion.
FCW - We added in a Acres, Income, Debt Service area on all of our RE icons in Web.  Not sure this is what is needed but that is how FCW handles accounting for the Income on the property.  Staff completes information outside of Collateral Web and inputs into Narrative as well as Web.
FCE - We do not handle it this way.</t>
  </si>
  <si>
    <t>Add a new column to the Quick Loan Analysis grid on the Collateral View Display the current LGD in a new column, to the far right, next to the L/NRV% (which is called LTV in EMPOWER LOS) that determines LGD. Make sure the LGD is displaying the “live” data from any (re)calculation that just happened in EmPOWER LOS.</t>
  </si>
  <si>
    <t>NW - Agreed.
FCW-Our staff are aware of the thresholds for LGD so this is not an issue.  Even if you have submitted a scenario and notice the LGD is not what you expected, you are able to adjust your submitted scenarios and re submit data back to Empower.  I do not see how this would help with transfer scenario instances?
FCE - Not sure this is needed .  FCE calculates LGD on CU screen in LOS, can be overridden.  Might be a consideration with Empower Web if this becomes the place LGD is calculated.</t>
  </si>
  <si>
    <t>Add another new column in the Quick Loan Analysis grid, called “Account Title” Simply display the Account Title that is also on each green loan icon. This makes it much easier to identify which loan is which for the user. I would place it to the right of either the existing Loan # or the Type, but we can let NW decide if this gets approved. Alternatively, if there is a configurable option to change the hyperlink blue Loan # to instead be the Account Title (not adding a new column), this would work as well.</t>
  </si>
  <si>
    <t>NW - GMM - ANYWHERE that the Loan number shows it would be great if we could add account title.
Agreed. Most staff know the loans by account title not account number.
FCW-We dealt with this in the first build of CW.  There is just not enough room on the Loan icons for this information.  We included it on the back side of the Loan icons, that is association configurable.  Its a nice to have to have it added to the Quick Loan Analysis area, but it is listed in the Calc Overview modal.   Would like to see how much work it entails...</t>
  </si>
  <si>
    <t>UI: Color scheme in Collateral Web Color scheme is difficult/impossible to see the red lines that need to be cleaned up for color blind people</t>
  </si>
  <si>
    <t>NW -Not priority to me. Depending on what you do it could change it for someone else.
FCW-Not a Priority at FCW.  Before we went live at FCW in August of 2014, a usability group analyzed Collateral web and actually enhanced many icons, colors etc.  to make it easier on the eyes.  You have the ability to make the background blank, which helps view the red/dotted lines.  Use of filters also helps. 
FCE - Not a priority for us.</t>
  </si>
  <si>
    <t>UCC Error Message The error message that says a UCC is required fires for Chattels but sometimes UCC’s are also required on RE when there are fixtures. It would be great if the error was enhanced so that if fixtures like Irrigation Equipment or Permanent Plantings were included in the RE collateral then the error would fire for those as well. Today it never fires for RE even though a UCC might actually be required.</t>
  </si>
  <si>
    <t>NW - Please discuss with Rachel Swanson and Michelle Ferrara. I know I asked about this during testing and after roll-out. They had reasonings on why the business rules are set the way they are.
YKE: can this be a Config change?
FCW-Not a priority at FCW.  Different business rules than we use....
FCE - Not a priority</t>
  </si>
  <si>
    <t>Real Property collateral type:  the overall # of acres field should sum the # of acres field for each detail.  Currently this does not happen and a soft error fires when validated to input the # of acres.</t>
  </si>
  <si>
    <t>YKE: nice to have if this rolled up for stress testing and reporting total acres.
FCW - Nice to have.  Not a priority.
FCE - Agree this should happen.  Not a high priority as FCE usually does not use multiple rows for RE Collateral</t>
  </si>
  <si>
    <t>When completing a Partial Release – if someone submits the action multiple times to EmPOWER, Collateral Web is recording the history for each submit.  The collateral web should only keep the last submitted information based on when action is booked.</t>
  </si>
  <si>
    <t>YKE: we think the issue here is legitimate as the business need is to "propose" a release and produce documents, then book when approved. It would be nice to have a way to stage or propose a PR before an actual approval. 
FCW - Need a demo to fully understand request.
FCE - Sounds logical.  FCE does not use P/R function much so not a high priority</t>
  </si>
  <si>
    <t>When you import Inventory/Growing Crops (not sure of other COA) it imports the “Commodity” field into the description line in collateral web instead of the “Description” field from Credit Pro.  It does import the “description” field into the comments field in web but when looking in web or the COLA you could have multiple detailed items named “wheat”.  Should be winter wheat and spring wheat.</t>
  </si>
  <si>
    <t>FCW-Has not been brought up as an issue with our staff.  Low priority for us.
FCE - Not a high priority but would have to see to better understand</t>
  </si>
  <si>
    <t>Autobook – The checkbox is being missed by staff and actions end up not being booked in LOS.  Need a way to signify that it will not be booked without the box checked  (or possibly come up with a new action name that is only used for AutoBook actions that will be autobooked without a box checked).  At the least, need a warning the Autobook box was not checked.</t>
  </si>
  <si>
    <t>Business need: The ability to Autobook feature added in for collateral remaining was an enhancement to the original collateral app. It helped to bring back the sync feature. We have quite a few open actions that result in intervening actions since these remain open. We have tried to train to check the box, yet it is forgotten by the user. There is a need for a warning that the Autobook box was not checked</t>
  </si>
  <si>
    <t>AgC Comments: We catch these with an open action report; we have a regular monitoring process for unbooked actions.
NW - BRIAN: This is also a concern (actions unintentionally not being booked when the box wasn’t checked). Heidi and the Field Ops team have started sending out after-the-fact reporting on this to make sure actions aren’t sitting out there when they shouldn’t be (just looking for Collateral Update – Autobooks). They run one the LOS Activity reports in the EmPOWER sidebar to do this. I think the warning message is a good idea, but we definitely don’t want to force it. The reason? There are frequently situations where they don’t want an action to automatically go to “ready for booking” so other related loans can all be booked on the same day. In that situation, they just choose the same process definition but don’t check the box. I would spend too many chips on this one, but the benefit is there. Honestly, everything is a much lower priority than the LGD items we have discussed (and were on your list Lorrie). Insight and clarity in CW on when the LGD is being re-calc’d and when it isn’t should easily be our #1 priority from a data governance / control / audit standpoint for our field users. I view the rest as ‘gravy’, including this one.
YKE: we are not using Autobook often as we still need to print something to justify why Collateral changed for the loan NOT being serviced. If this was solely due to amortization this would be acceptable.
FCW- Warning message or business rule is all we need.  Just a friendly reminder that if you want it to book and use this functionality, check the box.
FCE - Have not used autobook and is not a high priority</t>
  </si>
  <si>
    <t>History – This would be beneficial for staff to see what was completed in a previous scenario and by who. Currently the only way to do this is, is to go into Empower and try and figure out what was completed in Collateral web via Collateral Details screen.  Once EmPower is replaced by EmPower Web there is a concern the forensics of a collateral problem completed by Strategy will be lost.</t>
  </si>
  <si>
    <t>Business need: We need to have the ability to look back through historical actions to conduct forensics in EmPower Web. Currently this is used for auditing and training purposes. If this is not preserved there will be no "why" and "how" as to what happened on a collateral error.</t>
  </si>
  <si>
    <t>AgC Comments: We need to have the ability to look back through historical actions to conduct forensics, both in CW and EmP Web. We can't readily validate the data files we send to AgriBank without the history. Would want to know who booked the action, when and what it contained (similar to EmP today)
NW - BRIAN: I agree with this being valuable for us from a research / audit trail standpoint, but for me (NW) this is a lower priority than all the others on the FCW list. We have good controls for what exists and falls off for scenarios, and how data really gets committed to the database via the EmPOWER submittal process. I don’t see this as getting worse with the advent of EmPOWER Web as Brittany noted, but I’m could be missing something.
YKE: This is a data governance issue, to be dealt with holistically by Empower Web
FCW - Needs to be considered along with the development of Empower Web (that the history from the Collateral Web scenarios needs to be archived or at least reviewable -- currently scenario detail goes away when the loan is booked). 
FCE - We would use the narrative to find out what the collateral was from previous actions.  Not sure it is worth developing within CW.</t>
  </si>
  <si>
    <t>Loan group changes not recognized in CW Description: CW does not appear to recognize changes to loan groups after a credit action has been linked to CW. Group errors fire in error, requiring workarounds in EmPOWER to undo the group changes, refresh CW to remove errors &amp; submit changes, then modify the group in EmPOWER. INC0157904</t>
  </si>
  <si>
    <t>Business need: Due to the business environment, we’re seeing a lot of restructuring and change in direction as RM’s work through their credit analysis. Group changes are common as guarantees are added, collateral owners changed, etc. This issue results in potential data issues, extra work, staff confusion and delayed loan closing. Any time we modify data to make something “work” we introduce risk that the data will not be corrected. When users receive these errors, they struggle, then contact the AgCountry help desk, and finally may end up with the FPI help desk before successfully booking the loan.</t>
  </si>
  <si>
    <t>NW -
GMM –I am border line between 1 and 2 for significant or minor positive impact. I haven’t tested this but think that it would be of value to NW provided it is behaving the same way. If we haven’t heard about this issue yet, we probably will in the future.
TLD - I haven't heard this. Usually when folks get a hard error about a group change, they start a GM, change the group, and link the open action to the current scenario. The few times I've heard of people doing it, it seems to work fine
CMC - Agreed, better to be proactive than reactive here.
YKE: We have not encountered this yet BUT are attempting to clean up group names. If changing a Group name caused this, we would want this improved sooner rather than later. If this is due to change in Group Members, then this also needs to be addressed soon.
FCW-Have not had issues like this at FCW.  SImilar to NW, if an error occurs, users address group issues and seems to work.  Not heard issues from our end.
FCE - Have not heard of this being an issue but agree it should recognize changes to loan groups.</t>
  </si>
  <si>
    <t>Cannot release UCC after loan is paid off Description: AgCountry releases the UCC after the loan is paid off using a 1354 tran code. If there are no loans remaining open for the customer, FPI has to delete the UCC via script to remove it from the tracking report. If there are open loans, the user has to “trick” CW by linking the UCC to a different Security Agreement, then open the UCC modal and delete the UCC.</t>
  </si>
  <si>
    <t>Business need: Staff sometimes get confused about when they can “trick” the system and when they have to request deletion by FPI. Fundamentally, we don’t like creating data/relationships that are inaccurate if we can avoid it.</t>
  </si>
  <si>
    <t>Same as FCE row 8. (BT)
YKE: We have been told to clean these up prior to closing the loan...but this is not feasible. This is impacting operations and should be dealt with sooner rather than later.
FCW-We had this issue when we first went live.  FPI adjusted our empower sidebar report to allow it to only show Active accounts.  If the loan is paid off, the UCC info will not appear on the report.  It has been released, just not "deleted" in our system, so a "clean up item" rather than a data integrity item.  We are also using CT Liens to file our UCC's so we basically have a backup of all our UCC data through them. 
NW - The NW UCC tracking is done in relationships plans in EmPOWER.
FCE - We think that this is a time waster for FPI staff and a fix would create efficiencies for FPI and ACA staff.</t>
  </si>
  <si>
    <t>Partial release functionality does not work for building values Description: Building values cannot be adjusted using partial release functionality. INC0156420</t>
  </si>
  <si>
    <t>Business need: We don’t often take buildings, but when we need to release them we can’t use the PR functionality.</t>
  </si>
  <si>
    <t>YKE: we have not run into this yet but we would need to be able to take into account buildings being released. 
FCW-Not an issue at FCW.
FCE - Not an issue at FCE</t>
  </si>
  <si>
    <t>Business need: Doesn't allow the flexibility we need to match the business environment.</t>
  </si>
  <si>
    <t>NW - GMM – This seems like something NW would want as well. I know that people are doing this so visibility into what is released when an entire piece of collateral is let go would be great. Nice to have.
FCW- Nice to have.  Not a priority. 
FCE - We don't use PR Functionality much</t>
  </si>
  <si>
    <t>CW requires separate credit action for Autobook functionality Description: AgCountry originally designated our Branch Maintenance credit action to be available for autobook. We did not want to add another action and create another “decision” about which type of action to select in CW; the user would check “autobook” if applicable. However, adding the autobook designation to Branch Maintenance seemed to affect the behavior of the branch maintenance even if we didn’t check autobook, so we had to turn the functionality off.</t>
  </si>
  <si>
    <t>Business need: This was a really neat feature, but we couldn’t support adding a separate credit action to be able to use the feature. Our objective was to simplify the business process, not add another decision point, so we turned it off.</t>
  </si>
  <si>
    <t>YKE: Autobook is a great concept but we are not able to use it. Would be nice to re-think how this could be enabled, especially for loans where all that has occurred is amortization (same collateral value, just a reduce P balance)
FCW - Not an issue.
FCE - We don't use autobook</t>
  </si>
  <si>
    <t>NW -
GMM - would like more info on this one. Not sure if it is something NW would want or not.
TLD - Seconded
CMC - Agree</t>
  </si>
  <si>
    <t>Combined with #24
Currently FCE's process is to close the account with the xx54 tran code then later remove the UCC from the tickler system. Currently in Collateral Web once the loan is closed the UCC disappears (but remains on the UCC reports) and can only be deleted by asking FPI to run a scrip to remove it.</t>
  </si>
  <si>
    <t>NW - GMM - haven't run across this yet but makes sense.
YKE: this is a duplicate of #24
FCW - Same comment as #24 above.
FCE - This has to be a very time consuming process for FPI staff to close UCC's when requested by staff.  There should be a more efficient way.</t>
  </si>
  <si>
    <t>NW -Would be useful on loan balances when MOB/controlled above is used.
YKE: we don't use Peak
FCW-Not an issue at FCW.  Our staff uses the override feature on the majority of our PCA loans to reflect peak. 
FCE - To calculate correct LGD without the need to over ride loan amount</t>
  </si>
  <si>
    <t>AgC Comments: Similar to our #5, provide visibility into which scenario owns which object. This could be a first step.
NW - 
GMM - This was a big issue in the beginning but support and information has helped folks to stop creating as many extra scenarios. I still see these from time to time.
TLD - Agree with Gina, however some folks are still getting into Web for the first time so i see it picking up again as we go into the summer. Seems like a nobrainer
CMC - I would agree here with both Gina and Tiago.
YKE: we don't encounter multiple scenarios often
FCW-As mentioned in the AgC request, once our staff learned and did it incorrectly, they didn't do it again.  It's a training issue and staff will get used to being aware of scenarios that are open and reviewing the history prior to opening new scenarios.
FCE - As we understand it the multiple scenario option was created to allow staff to : "play in the sandbox" and create different collateral scenarios and then select which one they want to use.  Unfortunately staff are finding themselves playing in "quicksand" and before they know it they are in too deep and need help getting pulled back out.  This has been by far the biggest hurdle for staff.  They don't understand the multiple scenarios and end up creating scenarios that can never be released so they end up losing data and having to start all over.  What should happen is the system should not allow multiple scenarios for the same scope of loans that share collateral.  An error should pop up if staff do try to create multiple scenarios.  This will greatly enhance efficiency, training time and staff frustrations with collateral web.</t>
  </si>
  <si>
    <t>NW - GMM - Consistency is what is important here in my opinion. I haven't really gotten any complaints about the locking so far.
Yankee agrees this would be nice but willing to wait for Empower Web
FCW-Not an issue at FCW.
FCE - Efficiency and to assist with multiple users working ont he same customer.</t>
  </si>
  <si>
    <t>Label</t>
  </si>
  <si>
    <t>Rating</t>
  </si>
  <si>
    <t>FCE Numeric Rating</t>
  </si>
  <si>
    <t>YKE Numeric Rating</t>
  </si>
  <si>
    <t>AgC Numeric Rating</t>
  </si>
  <si>
    <t>FCW Numeric Rating</t>
  </si>
  <si>
    <t>Notes</t>
  </si>
  <si>
    <t>If you press the launch button in EmPOWER, this creates a new scenario and links the action (if there is not already a scenario connected to the action).
NOTE TO SELF: Can configure the number of scenarios that can be created at one time by ACA.
AgCountry likes to keep ST loans separate from LT loans.</t>
  </si>
  <si>
    <t>TFS #</t>
  </si>
  <si>
    <t>Avg Rating</t>
  </si>
  <si>
    <t>INC#</t>
  </si>
  <si>
    <t>Farm Credit East; Yankee; Farm Credit West; Northwest</t>
  </si>
  <si>
    <t>Farm Credit East; Yankee; Northwest</t>
  </si>
  <si>
    <t>Yankee; Northwest</t>
  </si>
  <si>
    <t>Farm Credit West; Northwest</t>
  </si>
  <si>
    <t>Farm Credit East; Northwest</t>
  </si>
  <si>
    <t>Not sure how to use partial release functionality to release an RE object Description: We create one collateral object per RE appraisal, and some mortgages are secured by multiple objects. We aren’t sure how to use the partial release functionality to track the release of an entire object, but we do need to keep track of releases so staff can easily tell that the original mortgage covers more real estate than we currently have.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</si>
</sst>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Fill="1"/>
    <xf numFmtId="0" fontId="16" fillId="0" borderId="0" xfId="0" applyFont="1" applyFill="1"/>
    <xf numFmtId="0" fontId="16" fillId="0" borderId="0" xfId="0" applyFont="1" applyFill="1" applyAlignment="1">
      <alignment wrapText="1"/>
    </xf>
    <xf numFmtId="14" fontId="16" fillId="0" borderId="0" xfId="0" applyNumberFormat="1" applyFont="1" applyFill="1"/>
    <xf numFmtId="0" fontId="0" fillId="0" borderId="0" xfId="0" applyFill="1" applyAlignment="1">
      <alignment wrapText="1"/>
    </xf>
    <xf numFmtId="14"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9"/>
  <sheetViews>
    <sheetView tabSelected="1" zoomScaleNormal="100" workbookViewId="0">
      <pane xSplit="1" ySplit="1" topLeftCell="B17" activePane="bottomRight" state="frozen"/>
      <selection pane="topRight" activeCell="B1" sqref="B1"/>
      <selection pane="bottomLeft" activeCell="A2" sqref="A2"/>
      <selection pane="bottomRight" activeCell="B22" sqref="B22"/>
    </sheetView>
  </sheetViews>
  <sheetFormatPr defaultRowHeight="15" x14ac:dyDescent="0.25"/>
  <cols>
    <col min="1" max="1" width="6" style="2" bestFit="1" customWidth="1"/>
    <col min="2" max="2" width="14.5703125" style="1" customWidth="1"/>
    <col min="3" max="3" width="9.140625" style="1"/>
    <col min="4" max="4" width="5.140625" style="1" bestFit="1" customWidth="1"/>
    <col min="5" max="9" width="9.140625" style="5"/>
    <col min="10" max="10" width="12.28515625" style="1" bestFit="1" customWidth="1"/>
    <col min="11" max="15" width="18.42578125" style="1" hidden="1" customWidth="1"/>
    <col min="16" max="16" width="12.5703125" style="1" bestFit="1" customWidth="1"/>
    <col min="17" max="17" width="9.140625" style="1"/>
    <col min="18" max="18" width="83.5703125" style="5" customWidth="1"/>
    <col min="19" max="19" width="72" style="5" customWidth="1"/>
    <col min="20" max="20" width="47.7109375" style="5" customWidth="1"/>
    <col min="21" max="21" width="11.7109375" style="1" bestFit="1" customWidth="1"/>
    <col min="22" max="22" width="163.85546875" style="5" customWidth="1"/>
    <col min="23" max="23" width="10.7109375" style="6" bestFit="1" customWidth="1"/>
    <col min="24" max="24" width="19" style="5" bestFit="1" customWidth="1"/>
    <col min="25" max="25" width="48" style="5" customWidth="1"/>
    <col min="26" max="16384" width="9.140625" style="1"/>
  </cols>
  <sheetData>
    <row r="1" spans="1:26" s="2" customFormat="1" ht="30" x14ac:dyDescent="0.25">
      <c r="A1" s="2" t="s">
        <v>105</v>
      </c>
      <c r="B1" s="2" t="s">
        <v>11</v>
      </c>
      <c r="C1" s="2" t="s">
        <v>12</v>
      </c>
      <c r="D1" s="2" t="s">
        <v>14</v>
      </c>
      <c r="E1" s="3" t="s">
        <v>1</v>
      </c>
      <c r="F1" s="3" t="s">
        <v>2</v>
      </c>
      <c r="G1" s="3" t="s">
        <v>3</v>
      </c>
      <c r="H1" s="3" t="s">
        <v>4</v>
      </c>
      <c r="I1" s="3" t="s">
        <v>5</v>
      </c>
      <c r="J1" s="2" t="s">
        <v>0</v>
      </c>
      <c r="K1" s="2" t="s">
        <v>99</v>
      </c>
      <c r="L1" s="2" t="s">
        <v>100</v>
      </c>
      <c r="M1" s="2" t="s">
        <v>101</v>
      </c>
      <c r="N1" s="2" t="s">
        <v>102</v>
      </c>
      <c r="O1" s="2" t="s">
        <v>102</v>
      </c>
      <c r="P1" s="2" t="s">
        <v>106</v>
      </c>
      <c r="Q1" s="2" t="s">
        <v>6</v>
      </c>
      <c r="R1" s="3" t="s">
        <v>7</v>
      </c>
      <c r="S1" s="3" t="s">
        <v>103</v>
      </c>
      <c r="T1" s="3" t="s">
        <v>8</v>
      </c>
      <c r="U1" s="2" t="s">
        <v>107</v>
      </c>
      <c r="V1" s="3" t="s">
        <v>9</v>
      </c>
      <c r="W1" s="4" t="s">
        <v>15</v>
      </c>
      <c r="X1" s="3" t="s">
        <v>10</v>
      </c>
      <c r="Y1" s="3" t="s">
        <v>13</v>
      </c>
      <c r="Z1" s="2" t="s">
        <v>16</v>
      </c>
    </row>
    <row r="2" spans="1:26" ht="60.75" customHeight="1" x14ac:dyDescent="0.25">
      <c r="A2" s="1">
        <v>98716</v>
      </c>
      <c r="B2" s="1" t="s">
        <v>34</v>
      </c>
      <c r="C2" s="1" t="s">
        <v>27</v>
      </c>
      <c r="D2" s="1">
        <v>24</v>
      </c>
      <c r="E2" s="5" t="s">
        <v>17</v>
      </c>
      <c r="F2" s="5" t="s">
        <v>17</v>
      </c>
      <c r="G2" s="5" t="s">
        <v>17</v>
      </c>
      <c r="H2" s="5" t="s">
        <v>18</v>
      </c>
      <c r="I2" s="5" t="s">
        <v>18</v>
      </c>
      <c r="J2" s="1" t="s">
        <v>3</v>
      </c>
      <c r="K2" s="1">
        <f>VLOOKUP(E2,RatingLookup!$A$2:$B$7,2,FALSE)</f>
        <v>3</v>
      </c>
      <c r="L2" s="1">
        <f>VLOOKUP(F2,RatingLookup!$A$2:$B$7,2,FALSE)</f>
        <v>3</v>
      </c>
      <c r="M2" s="1">
        <f>VLOOKUP(G2,RatingLookup!$A$2:$B$7,2,FALSE)</f>
        <v>3</v>
      </c>
      <c r="N2" s="1">
        <f>VLOOKUP(H2,RatingLookup!$A$2:$B$7,2,FALSE)</f>
        <v>2</v>
      </c>
      <c r="O2" s="1">
        <f>VLOOKUP(I2,RatingLookup!$A$2:$B$7,2,FALSE)</f>
        <v>2</v>
      </c>
      <c r="P2" s="1">
        <f t="shared" ref="P2:P22" si="0">(AVERAGE(K2:O2))</f>
        <v>2.6</v>
      </c>
      <c r="Q2" s="1" t="s">
        <v>26</v>
      </c>
      <c r="R2" s="5" t="s">
        <v>80</v>
      </c>
      <c r="T2" s="5" t="s">
        <v>81</v>
      </c>
      <c r="V2" s="5" t="s">
        <v>82</v>
      </c>
      <c r="W2" s="6">
        <v>42508.654814814814</v>
      </c>
      <c r="X2" s="5" t="s">
        <v>109</v>
      </c>
      <c r="Y2" s="5" t="s">
        <v>47</v>
      </c>
      <c r="Z2" s="1" t="s">
        <v>22</v>
      </c>
    </row>
    <row r="3" spans="1:26" ht="90" x14ac:dyDescent="0.25">
      <c r="A3" s="1">
        <v>98716</v>
      </c>
      <c r="B3" s="1" t="s">
        <v>34</v>
      </c>
      <c r="C3" s="1" t="s">
        <v>27</v>
      </c>
      <c r="D3" s="1">
        <v>35</v>
      </c>
      <c r="E3" s="5" t="s">
        <v>17</v>
      </c>
      <c r="F3" s="5" t="s">
        <v>17</v>
      </c>
      <c r="G3" s="5" t="s">
        <v>17</v>
      </c>
      <c r="H3" s="5" t="s">
        <v>18</v>
      </c>
      <c r="I3" s="5" t="s">
        <v>18</v>
      </c>
      <c r="J3" s="1" t="s">
        <v>1</v>
      </c>
      <c r="K3" s="1">
        <f>VLOOKUP(E3,RatingLookup!$A$2:$B$7,2,FALSE)</f>
        <v>3</v>
      </c>
      <c r="L3" s="1">
        <f>VLOOKUP(F3,RatingLookup!$A$2:$B$7,2,FALSE)</f>
        <v>3</v>
      </c>
      <c r="M3" s="1">
        <f>VLOOKUP(G3,RatingLookup!$A$2:$B$7,2,FALSE)</f>
        <v>3</v>
      </c>
      <c r="N3" s="1">
        <f>VLOOKUP(H3,RatingLookup!$A$2:$B$7,2,FALSE)</f>
        <v>2</v>
      </c>
      <c r="O3" s="1">
        <f>VLOOKUP(I3,RatingLookup!$A$2:$B$7,2,FALSE)</f>
        <v>2</v>
      </c>
      <c r="P3" s="1">
        <f t="shared" si="0"/>
        <v>2.6</v>
      </c>
      <c r="Q3" s="1" t="s">
        <v>19</v>
      </c>
      <c r="R3" s="5" t="s">
        <v>92</v>
      </c>
      <c r="V3" s="5" t="s">
        <v>93</v>
      </c>
      <c r="W3" s="6">
        <v>42508.654490740744</v>
      </c>
      <c r="X3" s="5" t="s">
        <v>109</v>
      </c>
      <c r="Y3" s="5" t="s">
        <v>47</v>
      </c>
      <c r="Z3" s="1" t="s">
        <v>22</v>
      </c>
    </row>
    <row r="4" spans="1:26" ht="74.25" customHeight="1" x14ac:dyDescent="0.25">
      <c r="A4" s="1">
        <v>98717</v>
      </c>
      <c r="B4" s="1" t="s">
        <v>28</v>
      </c>
      <c r="C4" s="1" t="s">
        <v>27</v>
      </c>
      <c r="D4" s="1">
        <v>4</v>
      </c>
      <c r="E4" s="5" t="s">
        <v>18</v>
      </c>
      <c r="F4" s="5" t="s">
        <v>17</v>
      </c>
      <c r="G4" s="5" t="s">
        <v>18</v>
      </c>
      <c r="H4" s="5" t="s">
        <v>18</v>
      </c>
      <c r="I4" s="5" t="s">
        <v>17</v>
      </c>
      <c r="J4" s="1" t="s">
        <v>5</v>
      </c>
      <c r="K4" s="1">
        <f>VLOOKUP(E4,RatingLookup!$A$2:$B$7,2,FALSE)</f>
        <v>2</v>
      </c>
      <c r="L4" s="1">
        <f>VLOOKUP(F4,RatingLookup!$A$2:$B$7,2,FALSE)</f>
        <v>3</v>
      </c>
      <c r="M4" s="1">
        <f>VLOOKUP(G4,RatingLookup!$A$2:$B$7,2,FALSE)</f>
        <v>2</v>
      </c>
      <c r="N4" s="1">
        <f>VLOOKUP(H4,RatingLookup!$A$2:$B$7,2,FALSE)</f>
        <v>2</v>
      </c>
      <c r="O4" s="1">
        <f>VLOOKUP(I4,RatingLookup!$A$2:$B$7,2,FALSE)</f>
        <v>3</v>
      </c>
      <c r="P4" s="1">
        <f t="shared" si="0"/>
        <v>2.4</v>
      </c>
      <c r="Q4" s="1" t="s">
        <v>19</v>
      </c>
      <c r="R4" s="5" t="s">
        <v>55</v>
      </c>
      <c r="T4" s="5" t="s">
        <v>40</v>
      </c>
      <c r="V4" s="5" t="s">
        <v>56</v>
      </c>
      <c r="W4" s="6">
        <v>42508.651226851849</v>
      </c>
      <c r="X4" s="5" t="s">
        <v>110</v>
      </c>
      <c r="Y4" s="5" t="s">
        <v>41</v>
      </c>
      <c r="Z4" s="1" t="s">
        <v>22</v>
      </c>
    </row>
    <row r="5" spans="1:26" ht="68.25" customHeight="1" x14ac:dyDescent="0.25">
      <c r="A5" s="1">
        <v>98718</v>
      </c>
      <c r="B5" s="1" t="s">
        <v>20</v>
      </c>
      <c r="C5" s="1" t="s">
        <v>27</v>
      </c>
      <c r="D5" s="1">
        <v>16</v>
      </c>
      <c r="E5" s="5" t="s">
        <v>18</v>
      </c>
      <c r="F5" s="5" t="s">
        <v>18</v>
      </c>
      <c r="G5" s="5" t="s">
        <v>17</v>
      </c>
      <c r="H5" s="5" t="s">
        <v>17</v>
      </c>
      <c r="I5" s="5" t="s">
        <v>18</v>
      </c>
      <c r="J5" s="1" t="s">
        <v>4</v>
      </c>
      <c r="K5" s="1">
        <f>VLOOKUP(E5,RatingLookup!$A$2:$B$7,2,FALSE)</f>
        <v>2</v>
      </c>
      <c r="L5" s="1">
        <f>VLOOKUP(F5,RatingLookup!$A$2:$B$7,2,FALSE)</f>
        <v>2</v>
      </c>
      <c r="M5" s="1">
        <f>VLOOKUP(G5,RatingLookup!$A$2:$B$7,2,FALSE)</f>
        <v>3</v>
      </c>
      <c r="N5" s="1">
        <f>VLOOKUP(H5,RatingLookup!$A$2:$B$7,2,FALSE)</f>
        <v>3</v>
      </c>
      <c r="O5" s="1">
        <f>VLOOKUP(I5,RatingLookup!$A$2:$B$7,2,FALSE)</f>
        <v>2</v>
      </c>
      <c r="P5" s="1">
        <f t="shared" si="0"/>
        <v>2.4</v>
      </c>
      <c r="R5" s="5" t="s">
        <v>74</v>
      </c>
      <c r="T5" s="5" t="s">
        <v>75</v>
      </c>
      <c r="V5" s="5" t="s">
        <v>76</v>
      </c>
      <c r="W5" s="6">
        <v>42508.651666666665</v>
      </c>
      <c r="X5" s="5" t="s">
        <v>108</v>
      </c>
      <c r="Y5" s="5" t="s">
        <v>44</v>
      </c>
      <c r="Z5" s="1" t="s">
        <v>22</v>
      </c>
    </row>
    <row r="6" spans="1:26" ht="54.75" customHeight="1" x14ac:dyDescent="0.25">
      <c r="A6" s="1">
        <v>98719</v>
      </c>
      <c r="B6" s="1" t="s">
        <v>34</v>
      </c>
      <c r="C6" s="1" t="s">
        <v>21</v>
      </c>
      <c r="D6" s="1">
        <v>21</v>
      </c>
      <c r="E6" s="5" t="s">
        <v>18</v>
      </c>
      <c r="F6" s="5" t="s">
        <v>17</v>
      </c>
      <c r="G6" s="5" t="s">
        <v>17</v>
      </c>
      <c r="H6" s="5" t="s">
        <v>24</v>
      </c>
      <c r="I6" s="5" t="s">
        <v>17</v>
      </c>
      <c r="J6" s="1" t="s">
        <v>3</v>
      </c>
      <c r="K6" s="1">
        <f>VLOOKUP(E6,RatingLookup!$A$2:$B$7,2,FALSE)</f>
        <v>2</v>
      </c>
      <c r="L6" s="1">
        <f>VLOOKUP(F6,RatingLookup!$A$2:$B$7,2,FALSE)</f>
        <v>3</v>
      </c>
      <c r="M6" s="1">
        <f>VLOOKUP(G6,RatingLookup!$A$2:$B$7,2,FALSE)</f>
        <v>3</v>
      </c>
      <c r="N6" s="1">
        <f>VLOOKUP(H6,RatingLookup!$A$2:$B$7,2,FALSE)</f>
        <v>1</v>
      </c>
      <c r="O6" s="1">
        <f>VLOOKUP(I6,RatingLookup!$A$2:$B$7,2,FALSE)</f>
        <v>3</v>
      </c>
      <c r="P6" s="1">
        <f t="shared" si="0"/>
        <v>2.4</v>
      </c>
      <c r="Q6" s="1" t="s">
        <v>26</v>
      </c>
      <c r="R6" s="5" t="s">
        <v>77</v>
      </c>
      <c r="T6" s="5" t="s">
        <v>78</v>
      </c>
      <c r="U6" s="1" t="s">
        <v>35</v>
      </c>
      <c r="V6" s="5" t="s">
        <v>79</v>
      </c>
      <c r="W6" s="6">
        <v>42508.653599537036</v>
      </c>
      <c r="X6" s="5" t="s">
        <v>109</v>
      </c>
      <c r="Y6" s="5" t="s">
        <v>45</v>
      </c>
      <c r="Z6" s="1" t="s">
        <v>22</v>
      </c>
    </row>
    <row r="7" spans="1:26" ht="72.75" customHeight="1" x14ac:dyDescent="0.25">
      <c r="A7" s="1">
        <v>98720</v>
      </c>
      <c r="B7" s="1" t="s">
        <v>20</v>
      </c>
      <c r="C7" s="1" t="s">
        <v>21</v>
      </c>
      <c r="D7" s="1">
        <v>25</v>
      </c>
      <c r="E7" s="5" t="s">
        <v>18</v>
      </c>
      <c r="F7" s="5" t="s">
        <v>17</v>
      </c>
      <c r="G7" s="5" t="s">
        <v>17</v>
      </c>
      <c r="H7" s="5" t="s">
        <v>18</v>
      </c>
      <c r="I7" s="5" t="s">
        <v>18</v>
      </c>
      <c r="J7" s="1" t="s">
        <v>3</v>
      </c>
      <c r="K7" s="1">
        <f>VLOOKUP(E7,RatingLookup!$A$2:$B$7,2,FALSE)</f>
        <v>2</v>
      </c>
      <c r="L7" s="1">
        <f>VLOOKUP(F7,RatingLookup!$A$2:$B$7,2,FALSE)</f>
        <v>3</v>
      </c>
      <c r="M7" s="1">
        <f>VLOOKUP(G7,RatingLookup!$A$2:$B$7,2,FALSE)</f>
        <v>3</v>
      </c>
      <c r="N7" s="1">
        <f>VLOOKUP(H7,RatingLookup!$A$2:$B$7,2,FALSE)</f>
        <v>2</v>
      </c>
      <c r="O7" s="1">
        <f>VLOOKUP(I7,RatingLookup!$A$2:$B$7,2,FALSE)</f>
        <v>2</v>
      </c>
      <c r="P7" s="1">
        <f t="shared" si="0"/>
        <v>2.4</v>
      </c>
      <c r="Q7" s="1" t="s">
        <v>26</v>
      </c>
      <c r="R7" s="5" t="s">
        <v>83</v>
      </c>
      <c r="T7" s="5" t="s">
        <v>84</v>
      </c>
      <c r="U7" s="1" t="s">
        <v>36</v>
      </c>
      <c r="V7" s="5" t="s">
        <v>85</v>
      </c>
      <c r="W7" s="6">
        <v>42508.655115740738</v>
      </c>
      <c r="X7" s="5" t="s">
        <v>110</v>
      </c>
      <c r="Y7" s="5" t="s">
        <v>48</v>
      </c>
      <c r="Z7" s="1" t="s">
        <v>22</v>
      </c>
    </row>
    <row r="8" spans="1:26" ht="39.75" customHeight="1" x14ac:dyDescent="0.25">
      <c r="A8" s="1">
        <v>98722</v>
      </c>
      <c r="D8" s="1">
        <v>41</v>
      </c>
      <c r="E8" s="5" t="s">
        <v>18</v>
      </c>
      <c r="F8" s="5" t="s">
        <v>18</v>
      </c>
      <c r="G8" s="5" t="s">
        <v>18</v>
      </c>
      <c r="H8" s="5" t="s">
        <v>18</v>
      </c>
      <c r="I8" s="5" t="s">
        <v>18</v>
      </c>
      <c r="J8" s="1" t="s">
        <v>1</v>
      </c>
      <c r="K8" s="1">
        <f>VLOOKUP(E8,RatingLookup!$A$2:$B$7,2,FALSE)</f>
        <v>2</v>
      </c>
      <c r="L8" s="1">
        <f>VLOOKUP(F8,RatingLookup!$A$2:$B$7,2,FALSE)</f>
        <v>2</v>
      </c>
      <c r="M8" s="1">
        <f>VLOOKUP(G8,RatingLookup!$A$2:$B$7,2,FALSE)</f>
        <v>2</v>
      </c>
      <c r="N8" s="1">
        <f>VLOOKUP(H8,RatingLookup!$A$2:$B$7,2,FALSE)</f>
        <v>2</v>
      </c>
      <c r="O8" s="1">
        <f>VLOOKUP(I8,RatingLookup!$A$2:$B$7,2,FALSE)</f>
        <v>2</v>
      </c>
      <c r="P8" s="1">
        <f t="shared" si="0"/>
        <v>2</v>
      </c>
      <c r="Q8" s="1" t="s">
        <v>26</v>
      </c>
      <c r="R8" s="5" t="s">
        <v>52</v>
      </c>
      <c r="V8" s="5" t="s">
        <v>96</v>
      </c>
      <c r="W8" s="6">
        <v>42473.751585648148</v>
      </c>
      <c r="X8" s="5" t="s">
        <v>109</v>
      </c>
      <c r="Z8" s="1" t="s">
        <v>22</v>
      </c>
    </row>
    <row r="9" spans="1:26" ht="52.5" customHeight="1" x14ac:dyDescent="0.25">
      <c r="A9" s="2">
        <v>92357</v>
      </c>
      <c r="B9" s="1" t="s">
        <v>20</v>
      </c>
      <c r="C9" s="1" t="s">
        <v>21</v>
      </c>
      <c r="D9" s="1">
        <v>40</v>
      </c>
      <c r="E9" s="5" t="s">
        <v>17</v>
      </c>
      <c r="F9" s="5" t="s">
        <v>18</v>
      </c>
      <c r="G9" s="5" t="s">
        <v>17</v>
      </c>
      <c r="H9" s="5" t="s">
        <v>23</v>
      </c>
      <c r="I9" s="5" t="s">
        <v>18</v>
      </c>
      <c r="J9" s="1" t="s">
        <v>1</v>
      </c>
      <c r="K9" s="1">
        <f>VLOOKUP(E9,RatingLookup!$A$2:$B$7,2,FALSE)</f>
        <v>3</v>
      </c>
      <c r="L9" s="1">
        <f>VLOOKUP(F9,RatingLookup!$A$2:$B$7,2,FALSE)</f>
        <v>2</v>
      </c>
      <c r="M9" s="1">
        <f>VLOOKUP(G9,RatingLookup!$A$2:$B$7,2,FALSE)</f>
        <v>3</v>
      </c>
      <c r="N9" s="1">
        <f>VLOOKUP(H9,RatingLookup!$A$2:$B$7,2,FALSE)</f>
        <v>0</v>
      </c>
      <c r="O9" s="1">
        <f>VLOOKUP(I9,RatingLookup!$A$2:$B$7,2,FALSE)</f>
        <v>2</v>
      </c>
      <c r="P9" s="1">
        <f t="shared" si="0"/>
        <v>2</v>
      </c>
      <c r="Q9" s="1" t="s">
        <v>19</v>
      </c>
      <c r="R9" s="5" t="s">
        <v>51</v>
      </c>
      <c r="S9" s="5" t="s">
        <v>104</v>
      </c>
      <c r="V9" s="5" t="s">
        <v>95</v>
      </c>
      <c r="W9" s="6">
        <v>42508.654189814813</v>
      </c>
      <c r="X9" s="5" t="s">
        <v>109</v>
      </c>
      <c r="Y9" s="5" t="s">
        <v>46</v>
      </c>
      <c r="Z9" s="1" t="s">
        <v>22</v>
      </c>
    </row>
    <row r="10" spans="1:26" ht="33.75" customHeight="1" x14ac:dyDescent="0.25">
      <c r="A10" s="1">
        <v>98724</v>
      </c>
      <c r="B10" s="1" t="s">
        <v>26</v>
      </c>
      <c r="C10" s="1" t="s">
        <v>27</v>
      </c>
      <c r="D10" s="1">
        <v>3</v>
      </c>
      <c r="E10" s="5" t="s">
        <v>18</v>
      </c>
      <c r="F10" s="5" t="s">
        <v>23</v>
      </c>
      <c r="G10" s="5" t="s">
        <v>24</v>
      </c>
      <c r="H10" s="5" t="s">
        <v>17</v>
      </c>
      <c r="I10" s="5" t="s">
        <v>17</v>
      </c>
      <c r="J10" s="1" t="s">
        <v>5</v>
      </c>
      <c r="K10" s="1">
        <f>VLOOKUP(E10,RatingLookup!$A$2:$B$7,2,FALSE)</f>
        <v>2</v>
      </c>
      <c r="L10" s="1">
        <f>VLOOKUP(F10,RatingLookup!$A$2:$B$7,2,FALSE)</f>
        <v>0</v>
      </c>
      <c r="M10" s="1">
        <f>VLOOKUP(G10,RatingLookup!$A$2:$B$7,2,FALSE)</f>
        <v>1</v>
      </c>
      <c r="N10" s="1">
        <f>VLOOKUP(H10,RatingLookup!$A$2:$B$7,2,FALSE)</f>
        <v>3</v>
      </c>
      <c r="O10" s="1">
        <f>VLOOKUP(I10,RatingLookup!$A$2:$B$7,2,FALSE)</f>
        <v>3</v>
      </c>
      <c r="P10" s="1">
        <f t="shared" si="0"/>
        <v>1.8</v>
      </c>
      <c r="Q10" s="1" t="s">
        <v>19</v>
      </c>
      <c r="R10" s="5" t="s">
        <v>53</v>
      </c>
      <c r="T10" s="5" t="s">
        <v>25</v>
      </c>
      <c r="V10" s="5" t="s">
        <v>54</v>
      </c>
      <c r="W10" s="6">
        <v>42508.650902777779</v>
      </c>
      <c r="X10" s="5" t="s">
        <v>111</v>
      </c>
      <c r="Y10" s="5" t="s">
        <v>39</v>
      </c>
      <c r="Z10" s="1" t="s">
        <v>22</v>
      </c>
    </row>
    <row r="11" spans="1:26" ht="29.25" customHeight="1" x14ac:dyDescent="0.25">
      <c r="A11" s="1">
        <v>98725</v>
      </c>
      <c r="D11" s="1">
        <v>10</v>
      </c>
      <c r="E11" s="5" t="s">
        <v>18</v>
      </c>
      <c r="F11" s="5" t="s">
        <v>18</v>
      </c>
      <c r="G11" s="5" t="s">
        <v>18</v>
      </c>
      <c r="H11" s="5" t="s">
        <v>24</v>
      </c>
      <c r="I11" s="5" t="s">
        <v>18</v>
      </c>
      <c r="J11" s="1" t="s">
        <v>5</v>
      </c>
      <c r="K11" s="1">
        <f>VLOOKUP(E11,RatingLookup!$A$2:$B$7,2,FALSE)</f>
        <v>2</v>
      </c>
      <c r="L11" s="1">
        <f>VLOOKUP(F11,RatingLookup!$A$2:$B$7,2,FALSE)</f>
        <v>2</v>
      </c>
      <c r="M11" s="1">
        <f>VLOOKUP(G11,RatingLookup!$A$2:$B$7,2,FALSE)</f>
        <v>2</v>
      </c>
      <c r="N11" s="1">
        <f>VLOOKUP(H11,RatingLookup!$A$2:$B$7,2,FALSE)</f>
        <v>1</v>
      </c>
      <c r="O11" s="1">
        <f>VLOOKUP(I11,RatingLookup!$A$2:$B$7,2,FALSE)</f>
        <v>2</v>
      </c>
      <c r="P11" s="1">
        <f t="shared" si="0"/>
        <v>1.8</v>
      </c>
      <c r="R11" s="5" t="s">
        <v>65</v>
      </c>
      <c r="V11" s="5" t="s">
        <v>66</v>
      </c>
      <c r="W11" s="6">
        <v>42473.744016203702</v>
      </c>
      <c r="X11" s="5" t="s">
        <v>110</v>
      </c>
      <c r="Z11" s="1" t="s">
        <v>22</v>
      </c>
    </row>
    <row r="12" spans="1:26" ht="38.25" customHeight="1" x14ac:dyDescent="0.25">
      <c r="A12" s="1">
        <v>98726</v>
      </c>
      <c r="D12" s="1">
        <v>11</v>
      </c>
      <c r="E12" s="5" t="s">
        <v>18</v>
      </c>
      <c r="F12" s="5" t="s">
        <v>18</v>
      </c>
      <c r="G12" s="5" t="s">
        <v>18</v>
      </c>
      <c r="H12" s="5" t="s">
        <v>24</v>
      </c>
      <c r="I12" s="5" t="s">
        <v>18</v>
      </c>
      <c r="J12" s="1" t="s">
        <v>5</v>
      </c>
      <c r="K12" s="1">
        <f>VLOOKUP(E12,RatingLookup!$A$2:$B$7,2,FALSE)</f>
        <v>2</v>
      </c>
      <c r="L12" s="1">
        <f>VLOOKUP(F12,RatingLookup!$A$2:$B$7,2,FALSE)</f>
        <v>2</v>
      </c>
      <c r="M12" s="1">
        <f>VLOOKUP(G12,RatingLookup!$A$2:$B$7,2,FALSE)</f>
        <v>2</v>
      </c>
      <c r="N12" s="1">
        <f>VLOOKUP(H12,RatingLookup!$A$2:$B$7,2,FALSE)</f>
        <v>1</v>
      </c>
      <c r="O12" s="1">
        <f>VLOOKUP(I12,RatingLookup!$A$2:$B$7,2,FALSE)</f>
        <v>2</v>
      </c>
      <c r="P12" s="1">
        <f t="shared" si="0"/>
        <v>1.8</v>
      </c>
      <c r="R12" s="5" t="s">
        <v>67</v>
      </c>
      <c r="T12" s="5" t="s">
        <v>68</v>
      </c>
      <c r="W12" s="6">
        <v>42473.744270833333</v>
      </c>
      <c r="X12" s="5" t="s">
        <v>110</v>
      </c>
      <c r="Z12" s="1" t="s">
        <v>22</v>
      </c>
    </row>
    <row r="13" spans="1:26" ht="36" customHeight="1" x14ac:dyDescent="0.25">
      <c r="A13" s="1">
        <v>98727</v>
      </c>
      <c r="D13" s="1">
        <v>7</v>
      </c>
      <c r="E13" s="5" t="s">
        <v>18</v>
      </c>
      <c r="F13" s="5" t="s">
        <v>18</v>
      </c>
      <c r="G13" s="5" t="s">
        <v>18</v>
      </c>
      <c r="H13" s="5" t="s">
        <v>23</v>
      </c>
      <c r="I13" s="5" t="s">
        <v>18</v>
      </c>
      <c r="J13" s="1" t="s">
        <v>5</v>
      </c>
      <c r="K13" s="1">
        <f>VLOOKUP(E13,RatingLookup!$A$2:$B$7,2,FALSE)</f>
        <v>2</v>
      </c>
      <c r="L13" s="1">
        <f>VLOOKUP(F13,RatingLookup!$A$2:$B$7,2,FALSE)</f>
        <v>2</v>
      </c>
      <c r="M13" s="1">
        <f>VLOOKUP(G13,RatingLookup!$A$2:$B$7,2,FALSE)</f>
        <v>2</v>
      </c>
      <c r="N13" s="1">
        <f>VLOOKUP(H13,RatingLookup!$A$2:$B$7,2,FALSE)</f>
        <v>0</v>
      </c>
      <c r="O13" s="1">
        <f>VLOOKUP(I13,RatingLookup!$A$2:$B$7,2,FALSE)</f>
        <v>2</v>
      </c>
      <c r="P13" s="1">
        <f t="shared" si="0"/>
        <v>1.6</v>
      </c>
      <c r="Q13" s="1" t="s">
        <v>30</v>
      </c>
      <c r="R13" s="5" t="s">
        <v>61</v>
      </c>
      <c r="T13" s="5" t="s">
        <v>31</v>
      </c>
      <c r="V13" s="5" t="s">
        <v>62</v>
      </c>
      <c r="W13" s="6">
        <v>42473.743495370371</v>
      </c>
      <c r="X13" s="5" t="s">
        <v>29</v>
      </c>
      <c r="Z13" s="1" t="s">
        <v>22</v>
      </c>
    </row>
    <row r="14" spans="1:26" ht="44.25" customHeight="1" x14ac:dyDescent="0.25">
      <c r="A14" s="1">
        <v>98728</v>
      </c>
      <c r="D14" s="1">
        <v>13</v>
      </c>
      <c r="E14" s="5" t="s">
        <v>18</v>
      </c>
      <c r="F14" s="5" t="s">
        <v>23</v>
      </c>
      <c r="G14" s="5" t="s">
        <v>18</v>
      </c>
      <c r="H14" s="5" t="s">
        <v>18</v>
      </c>
      <c r="I14" s="5" t="s">
        <v>18</v>
      </c>
      <c r="J14" s="1" t="s">
        <v>5</v>
      </c>
      <c r="K14" s="1">
        <f>VLOOKUP(E14,RatingLookup!$A$2:$B$7,2,FALSE)</f>
        <v>2</v>
      </c>
      <c r="L14" s="1">
        <f>VLOOKUP(F14,RatingLookup!$A$2:$B$7,2,FALSE)</f>
        <v>0</v>
      </c>
      <c r="M14" s="1">
        <f>VLOOKUP(G14,RatingLookup!$A$2:$B$7,2,FALSE)</f>
        <v>2</v>
      </c>
      <c r="N14" s="1">
        <f>VLOOKUP(H14,RatingLookup!$A$2:$B$7,2,FALSE)</f>
        <v>2</v>
      </c>
      <c r="O14" s="1">
        <f>VLOOKUP(I14,RatingLookup!$A$2:$B$7,2,FALSE)</f>
        <v>2</v>
      </c>
      <c r="P14" s="1">
        <f t="shared" si="0"/>
        <v>1.6</v>
      </c>
      <c r="R14" s="5" t="s">
        <v>69</v>
      </c>
      <c r="V14" s="5" t="s">
        <v>70</v>
      </c>
      <c r="W14" s="6">
        <v>42473.744652777779</v>
      </c>
      <c r="X14" s="5" t="s">
        <v>29</v>
      </c>
      <c r="Z14" s="1" t="s">
        <v>22</v>
      </c>
    </row>
    <row r="15" spans="1:26" ht="75" x14ac:dyDescent="0.25">
      <c r="A15" s="1">
        <v>98729</v>
      </c>
      <c r="D15" s="1">
        <v>26</v>
      </c>
      <c r="E15" s="5" t="s">
        <v>18</v>
      </c>
      <c r="F15" s="5" t="s">
        <v>23</v>
      </c>
      <c r="G15" s="5" t="s">
        <v>18</v>
      </c>
      <c r="H15" s="5" t="s">
        <v>18</v>
      </c>
      <c r="I15" s="5" t="s">
        <v>18</v>
      </c>
      <c r="J15" s="1" t="s">
        <v>3</v>
      </c>
      <c r="K15" s="1">
        <f>VLOOKUP(E15,RatingLookup!$A$2:$B$7,2,FALSE)</f>
        <v>2</v>
      </c>
      <c r="L15" s="1">
        <f>VLOOKUP(F15,RatingLookup!$A$2:$B$7,2,FALSE)</f>
        <v>0</v>
      </c>
      <c r="M15" s="1">
        <f>VLOOKUP(G15,RatingLookup!$A$2:$B$7,2,FALSE)</f>
        <v>2</v>
      </c>
      <c r="N15" s="1">
        <f>VLOOKUP(H15,RatingLookup!$A$2:$B$7,2,FALSE)</f>
        <v>2</v>
      </c>
      <c r="O15" s="1">
        <f>VLOOKUP(I15,RatingLookup!$A$2:$B$7,2,FALSE)</f>
        <v>2</v>
      </c>
      <c r="P15" s="1">
        <f t="shared" si="0"/>
        <v>1.6</v>
      </c>
      <c r="Q15" s="1" t="s">
        <v>37</v>
      </c>
      <c r="R15" s="5" t="s">
        <v>113</v>
      </c>
      <c r="T15" s="5" t="s">
        <v>86</v>
      </c>
      <c r="V15" s="5" t="s">
        <v>87</v>
      </c>
      <c r="W15" s="6">
        <v>42473.753009259257</v>
      </c>
      <c r="X15" s="5" t="s">
        <v>29</v>
      </c>
      <c r="Z15" s="1" t="s">
        <v>22</v>
      </c>
    </row>
    <row r="16" spans="1:26" ht="90" x14ac:dyDescent="0.25">
      <c r="A16" s="1">
        <v>98731</v>
      </c>
      <c r="D16" s="1">
        <v>28</v>
      </c>
      <c r="E16" s="5" t="s">
        <v>18</v>
      </c>
      <c r="F16" s="5" t="s">
        <v>18</v>
      </c>
      <c r="G16" s="5" t="s">
        <v>18</v>
      </c>
      <c r="H16" s="5" t="s">
        <v>23</v>
      </c>
      <c r="I16" s="5" t="s">
        <v>18</v>
      </c>
      <c r="J16" s="1" t="s">
        <v>3</v>
      </c>
      <c r="K16" s="1">
        <f>VLOOKUP(E16,RatingLookup!$A$2:$B$7,2,FALSE)</f>
        <v>2</v>
      </c>
      <c r="L16" s="1">
        <f>VLOOKUP(F16,RatingLookup!$A$2:$B$7,2,FALSE)</f>
        <v>2</v>
      </c>
      <c r="M16" s="1">
        <f>VLOOKUP(G16,RatingLookup!$A$2:$B$7,2,FALSE)</f>
        <v>2</v>
      </c>
      <c r="N16" s="1">
        <f>VLOOKUP(H16,RatingLookup!$A$2:$B$7,2,FALSE)</f>
        <v>0</v>
      </c>
      <c r="O16" s="1">
        <f>VLOOKUP(I16,RatingLookup!$A$2:$B$7,2,FALSE)</f>
        <v>2</v>
      </c>
      <c r="P16" s="1">
        <f t="shared" si="0"/>
        <v>1.6</v>
      </c>
      <c r="Q16" s="1" t="s">
        <v>37</v>
      </c>
      <c r="R16" s="5" t="s">
        <v>88</v>
      </c>
      <c r="T16" s="5" t="s">
        <v>89</v>
      </c>
      <c r="V16" s="5" t="s">
        <v>90</v>
      </c>
      <c r="W16" s="6">
        <v>42473.753449074073</v>
      </c>
      <c r="X16" s="5" t="s">
        <v>110</v>
      </c>
      <c r="Z16" s="1" t="s">
        <v>22</v>
      </c>
    </row>
    <row r="17" spans="1:26" ht="70.5" customHeight="1" x14ac:dyDescent="0.25">
      <c r="A17" s="1">
        <v>98732</v>
      </c>
      <c r="D17" s="1">
        <v>14</v>
      </c>
      <c r="E17" s="5" t="s">
        <v>18</v>
      </c>
      <c r="F17" s="5" t="s">
        <v>23</v>
      </c>
      <c r="G17" s="5" t="s">
        <v>24</v>
      </c>
      <c r="H17" s="5" t="s">
        <v>18</v>
      </c>
      <c r="I17" s="5" t="s">
        <v>24</v>
      </c>
      <c r="J17" s="1" t="s">
        <v>4</v>
      </c>
      <c r="K17" s="1">
        <f>VLOOKUP(E17,RatingLookup!$A$2:$B$7,2,FALSE)</f>
        <v>2</v>
      </c>
      <c r="L17" s="1">
        <f>VLOOKUP(F17,RatingLookup!$A$2:$B$7,2,FALSE)</f>
        <v>0</v>
      </c>
      <c r="M17" s="1">
        <f>VLOOKUP(G17,RatingLookup!$A$2:$B$7,2,FALSE)</f>
        <v>1</v>
      </c>
      <c r="N17" s="1">
        <f>VLOOKUP(H17,RatingLookup!$A$2:$B$7,2,FALSE)</f>
        <v>2</v>
      </c>
      <c r="O17" s="1">
        <f>VLOOKUP(I17,RatingLookup!$A$2:$B$7,2,FALSE)</f>
        <v>1</v>
      </c>
      <c r="P17" s="1">
        <f t="shared" si="0"/>
        <v>1.2</v>
      </c>
      <c r="R17" s="5" t="s">
        <v>71</v>
      </c>
      <c r="T17" s="5" t="s">
        <v>72</v>
      </c>
      <c r="V17" s="5" t="s">
        <v>73</v>
      </c>
      <c r="W17" s="6">
        <v>42479.381631944445</v>
      </c>
      <c r="X17" s="5" t="s">
        <v>33</v>
      </c>
      <c r="Z17" s="1" t="s">
        <v>22</v>
      </c>
    </row>
    <row r="18" spans="1:26" ht="60" x14ac:dyDescent="0.25">
      <c r="A18" s="1">
        <v>98733</v>
      </c>
      <c r="D18" s="1">
        <v>36</v>
      </c>
      <c r="E18" s="5" t="s">
        <v>18</v>
      </c>
      <c r="F18" s="5" t="s">
        <v>23</v>
      </c>
      <c r="G18" s="5" t="s">
        <v>18</v>
      </c>
      <c r="H18" s="5" t="s">
        <v>23</v>
      </c>
      <c r="I18" s="5" t="s">
        <v>18</v>
      </c>
      <c r="J18" s="1" t="s">
        <v>1</v>
      </c>
      <c r="K18" s="1">
        <f>VLOOKUP(E18,RatingLookup!$A$2:$B$7,2,FALSE)</f>
        <v>2</v>
      </c>
      <c r="L18" s="1">
        <f>VLOOKUP(F18,RatingLookup!$A$2:$B$7,2,FALSE)</f>
        <v>0</v>
      </c>
      <c r="M18" s="1">
        <f>VLOOKUP(G18,RatingLookup!$A$2:$B$7,2,FALSE)</f>
        <v>2</v>
      </c>
      <c r="N18" s="1">
        <f>VLOOKUP(H18,RatingLookup!$A$2:$B$7,2,FALSE)</f>
        <v>0</v>
      </c>
      <c r="O18" s="1">
        <f>VLOOKUP(I18,RatingLookup!$A$2:$B$7,2,FALSE)</f>
        <v>2</v>
      </c>
      <c r="P18" s="1">
        <f t="shared" si="0"/>
        <v>1.2</v>
      </c>
      <c r="Q18" s="1" t="s">
        <v>26</v>
      </c>
      <c r="R18" s="5" t="s">
        <v>50</v>
      </c>
      <c r="V18" s="5" t="s">
        <v>94</v>
      </c>
      <c r="W18" s="6">
        <v>42473.750671296293</v>
      </c>
      <c r="X18" s="5" t="s">
        <v>112</v>
      </c>
      <c r="Z18" s="1" t="s">
        <v>22</v>
      </c>
    </row>
    <row r="19" spans="1:26" ht="90" x14ac:dyDescent="0.25">
      <c r="A19" s="1">
        <v>98734</v>
      </c>
      <c r="D19" s="1">
        <v>6</v>
      </c>
      <c r="E19" s="5" t="s">
        <v>18</v>
      </c>
      <c r="F19" s="5" t="s">
        <v>23</v>
      </c>
      <c r="H19" s="5" t="s">
        <v>24</v>
      </c>
      <c r="I19" s="5" t="s">
        <v>18</v>
      </c>
      <c r="J19" s="1" t="s">
        <v>5</v>
      </c>
      <c r="K19" s="1">
        <f>VLOOKUP(E19,RatingLookup!$A$2:$B$7,2,FALSE)</f>
        <v>2</v>
      </c>
      <c r="L19" s="1">
        <f>VLOOKUP(F19,RatingLookup!$A$2:$B$7,2,FALSE)</f>
        <v>0</v>
      </c>
      <c r="M19" s="1">
        <f>0</f>
        <v>0</v>
      </c>
      <c r="N19" s="1">
        <f>VLOOKUP(H19,RatingLookup!$A$2:$B$7,2,FALSE)</f>
        <v>1</v>
      </c>
      <c r="O19" s="1">
        <f>VLOOKUP(I19,RatingLookup!$A$2:$B$7,2,FALSE)</f>
        <v>2</v>
      </c>
      <c r="P19" s="1">
        <f t="shared" si="0"/>
        <v>1</v>
      </c>
      <c r="Q19" s="1" t="s">
        <v>19</v>
      </c>
      <c r="R19" s="5" t="s">
        <v>59</v>
      </c>
      <c r="T19" s="5" t="s">
        <v>43</v>
      </c>
      <c r="V19" s="5" t="s">
        <v>60</v>
      </c>
      <c r="W19" s="6">
        <v>42473.353831018518</v>
      </c>
      <c r="X19" s="5" t="s">
        <v>29</v>
      </c>
      <c r="Z19" s="1" t="s">
        <v>22</v>
      </c>
    </row>
    <row r="20" spans="1:26" ht="64.5" customHeight="1" x14ac:dyDescent="0.25">
      <c r="A20" s="1">
        <v>98735</v>
      </c>
      <c r="D20" s="1">
        <v>5</v>
      </c>
      <c r="E20" s="5" t="s">
        <v>18</v>
      </c>
      <c r="F20" s="5" t="s">
        <v>23</v>
      </c>
      <c r="G20" s="5" t="s">
        <v>23</v>
      </c>
      <c r="H20" s="5" t="s">
        <v>23</v>
      </c>
      <c r="I20" s="5" t="s">
        <v>18</v>
      </c>
      <c r="J20" s="1" t="s">
        <v>5</v>
      </c>
      <c r="K20" s="1">
        <f>VLOOKUP(E20,RatingLookup!$A$2:$B$7,2,FALSE)</f>
        <v>2</v>
      </c>
      <c r="L20" s="1">
        <f>VLOOKUP(F20,RatingLookup!$A$2:$B$7,2,FALSE)</f>
        <v>0</v>
      </c>
      <c r="M20" s="1">
        <f>VLOOKUP(G20,RatingLookup!$A$2:$B$7,2,FALSE)</f>
        <v>0</v>
      </c>
      <c r="N20" s="1">
        <f>VLOOKUP(H20,RatingLookup!$A$2:$B$7,2,FALSE)</f>
        <v>0</v>
      </c>
      <c r="O20" s="1">
        <f>VLOOKUP(I20,RatingLookup!$A$2:$B$7,2,FALSE)</f>
        <v>2</v>
      </c>
      <c r="P20" s="1">
        <f t="shared" si="0"/>
        <v>0.8</v>
      </c>
      <c r="Q20" s="1" t="s">
        <v>19</v>
      </c>
      <c r="R20" s="5" t="s">
        <v>57</v>
      </c>
      <c r="T20" s="5" t="s">
        <v>42</v>
      </c>
      <c r="V20" s="5" t="s">
        <v>58</v>
      </c>
      <c r="W20" s="6">
        <v>42479.381157407406</v>
      </c>
      <c r="X20" s="5" t="s">
        <v>29</v>
      </c>
      <c r="Z20" s="1" t="s">
        <v>22</v>
      </c>
    </row>
    <row r="21" spans="1:26" ht="90" x14ac:dyDescent="0.25">
      <c r="A21" s="1">
        <v>98736</v>
      </c>
      <c r="D21" s="1">
        <v>30</v>
      </c>
      <c r="E21" s="5" t="s">
        <v>18</v>
      </c>
      <c r="F21" s="5" t="s">
        <v>23</v>
      </c>
      <c r="G21" s="5" t="s">
        <v>23</v>
      </c>
      <c r="H21" s="5" t="s">
        <v>23</v>
      </c>
      <c r="I21" s="5" t="s">
        <v>23</v>
      </c>
      <c r="J21" s="1" t="s">
        <v>1</v>
      </c>
      <c r="K21" s="1">
        <f>VLOOKUP(E21,RatingLookup!$A$2:$B$7,2,FALSE)</f>
        <v>2</v>
      </c>
      <c r="L21" s="1">
        <f>VLOOKUP(F21,RatingLookup!$A$2:$B$7,2,FALSE)</f>
        <v>0</v>
      </c>
      <c r="M21" s="1">
        <f>VLOOKUP(G21,RatingLookup!$A$2:$B$7,2,FALSE)</f>
        <v>0</v>
      </c>
      <c r="N21" s="1">
        <f>VLOOKUP(H21,RatingLookup!$A$2:$B$7,2,FALSE)</f>
        <v>0</v>
      </c>
      <c r="O21" s="1">
        <f>VLOOKUP(I21,RatingLookup!$A$2:$B$7,2,FALSE)</f>
        <v>0</v>
      </c>
      <c r="P21" s="1">
        <f t="shared" si="0"/>
        <v>0.4</v>
      </c>
      <c r="Q21" s="1" t="s">
        <v>26</v>
      </c>
      <c r="R21" s="5" t="s">
        <v>49</v>
      </c>
      <c r="V21" s="5" t="s">
        <v>91</v>
      </c>
      <c r="W21" s="6">
        <v>42473.749895833331</v>
      </c>
      <c r="X21" s="5" t="s">
        <v>38</v>
      </c>
      <c r="Z21" s="1" t="s">
        <v>22</v>
      </c>
    </row>
    <row r="22" spans="1:26" ht="75" x14ac:dyDescent="0.25">
      <c r="A22" s="1">
        <v>98737</v>
      </c>
      <c r="D22" s="1">
        <v>9</v>
      </c>
      <c r="E22" s="5" t="s">
        <v>23</v>
      </c>
      <c r="F22" s="5" t="s">
        <v>23</v>
      </c>
      <c r="G22" s="5" t="s">
        <v>23</v>
      </c>
      <c r="H22" s="5" t="s">
        <v>23</v>
      </c>
      <c r="I22" s="5" t="s">
        <v>18</v>
      </c>
      <c r="J22" s="1" t="s">
        <v>5</v>
      </c>
      <c r="K22" s="1">
        <f>VLOOKUP(E22,RatingLookup!$A$2:$B$7,2,FALSE)</f>
        <v>0</v>
      </c>
      <c r="L22" s="1">
        <f>VLOOKUP(F22,RatingLookup!$A$2:$B$7,2,FALSE)</f>
        <v>0</v>
      </c>
      <c r="M22" s="1">
        <f>VLOOKUP(G22,RatingLookup!$A$2:$B$7,2,FALSE)</f>
        <v>0</v>
      </c>
      <c r="N22" s="1">
        <f>VLOOKUP(H22,RatingLookup!$A$2:$B$7,2,FALSE)</f>
        <v>0</v>
      </c>
      <c r="O22" s="1">
        <f>VLOOKUP(I22,RatingLookup!$A$2:$B$7,2,FALSE)</f>
        <v>2</v>
      </c>
      <c r="P22" s="1">
        <f t="shared" si="0"/>
        <v>0.4</v>
      </c>
      <c r="Q22" s="1" t="s">
        <v>19</v>
      </c>
      <c r="R22" s="5" t="s">
        <v>63</v>
      </c>
      <c r="T22" s="5" t="s">
        <v>32</v>
      </c>
      <c r="V22" s="5" t="s">
        <v>64</v>
      </c>
      <c r="W22" s="6">
        <v>42473.743773148148</v>
      </c>
      <c r="X22" s="5" t="s">
        <v>29</v>
      </c>
      <c r="Z22" s="1" t="s">
        <v>22</v>
      </c>
    </row>
    <row r="23" spans="1:26" x14ac:dyDescent="0.25">
      <c r="A23" s="1"/>
    </row>
    <row r="24" spans="1:26" x14ac:dyDescent="0.25">
      <c r="A24" s="1"/>
    </row>
    <row r="25" spans="1:26" x14ac:dyDescent="0.25">
      <c r="A25" s="1"/>
    </row>
    <row r="26" spans="1:26" x14ac:dyDescent="0.25">
      <c r="A26" s="1"/>
    </row>
    <row r="27" spans="1:26" x14ac:dyDescent="0.25">
      <c r="A27" s="1"/>
    </row>
    <row r="28" spans="1:26" x14ac:dyDescent="0.25">
      <c r="A28" s="1"/>
    </row>
    <row r="29" spans="1:26" x14ac:dyDescent="0.25">
      <c r="A29" s="1"/>
    </row>
  </sheetData>
  <autoFilter ref="B1:Z29"/>
  <sortState ref="B2:AA45">
    <sortCondition descending="1" ref="P2:P45"/>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C11" sqref="C11"/>
    </sheetView>
  </sheetViews>
  <sheetFormatPr defaultRowHeight="15" x14ac:dyDescent="0.25"/>
  <sheetData>
    <row r="1" spans="1:2" x14ac:dyDescent="0.25">
      <c r="A1" t="s">
        <v>97</v>
      </c>
      <c r="B1" t="s">
        <v>98</v>
      </c>
    </row>
    <row r="2" spans="1:2" x14ac:dyDescent="0.25">
      <c r="B2">
        <v>0</v>
      </c>
    </row>
    <row r="3" spans="1:2" x14ac:dyDescent="0.25">
      <c r="A3" t="s">
        <v>23</v>
      </c>
      <c r="B3">
        <v>0</v>
      </c>
    </row>
    <row r="4" spans="1:2" x14ac:dyDescent="0.25">
      <c r="A4" t="s">
        <v>24</v>
      </c>
      <c r="B4">
        <v>1</v>
      </c>
    </row>
    <row r="5" spans="1:2" x14ac:dyDescent="0.25">
      <c r="A5" t="s">
        <v>18</v>
      </c>
      <c r="B5">
        <v>2</v>
      </c>
    </row>
    <row r="6" spans="1:2" x14ac:dyDescent="0.25">
      <c r="A6" t="s">
        <v>17</v>
      </c>
      <c r="B6">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35D0BD408ACF46BC3778DF7D9C5A21" ma:contentTypeVersion="19" ma:contentTypeDescription="Create a new document." ma:contentTypeScope="" ma:versionID="6b698b0a7e09125426c645dc322643e5">
  <xsd:schema xmlns:xsd="http://www.w3.org/2001/XMLSchema" xmlns:xs="http://www.w3.org/2001/XMLSchema" xmlns:p="http://schemas.microsoft.com/office/2006/metadata/properties" xmlns:ns1="http://schemas.microsoft.com/sharepoint/v3" xmlns:ns2="0405393e-e8dd-46da-8b72-5ab5d324d013" xmlns:ns3="c5ee895f-5561-4e6f-9b52-24b237278cf6" targetNamespace="http://schemas.microsoft.com/office/2006/metadata/properties" ma:root="true" ma:fieldsID="2d4693053a1608011da8324eeb8d7592" ns1:_="" ns2:_="" ns3:_="">
    <xsd:import namespace="http://schemas.microsoft.com/sharepoint/v3"/>
    <xsd:import namespace="0405393e-e8dd-46da-8b72-5ab5d324d013"/>
    <xsd:import namespace="c5ee895f-5561-4e6f-9b52-24b237278cf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05393e-e8dd-46da-8b72-5ab5d324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06447a5-99ff-4978-b0a4-6dbeac584e1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ee895f-5561-4e6f-9b52-24b237278cf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8a272d0-4f71-4b99-b0de-a8d91edd5df7}" ma:internalName="TaxCatchAll" ma:showField="CatchAllData" ma:web="c5ee895f-5561-4e6f-9b52-24b237278c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5ee895f-5561-4e6f-9b52-24b237278cf6" xsi:nil="true"/>
    <_ip_UnifiedCompliancePolicyUIAction xmlns="http://schemas.microsoft.com/sharepoint/v3" xsi:nil="true"/>
    <_ip_UnifiedCompliancePolicyProperties xmlns="http://schemas.microsoft.com/sharepoint/v3" xsi:nil="true"/>
    <lcf76f155ced4ddcb4097134ff3c332f xmlns="0405393e-e8dd-46da-8b72-5ab5d324d013">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EFC8A7A3DA1F14EBB167B5641ACA85B" ma:contentTypeVersion="0" ma:contentTypeDescription="Create a new document." ma:contentTypeScope="" ma:versionID="88eb00bb7f327d7a60b031fd08c4ca63">
  <xsd:schema xmlns:xsd="http://www.w3.org/2001/XMLSchema" xmlns:xs="http://www.w3.org/2001/XMLSchema" xmlns:p="http://schemas.microsoft.com/office/2006/metadata/properties" xmlns:ns2="5f032d97-5815-4021-87f6-3511a70699a4" xmlns:ns3="$ListId:SharedDocuments;" xmlns:ns4="f6635943-dd24-4038-9c1d-a59cb22f25ea" targetNamespace="http://schemas.microsoft.com/office/2006/metadata/properties" ma:root="true" ma:fieldsID="9157f85eb523926f56981c376f119628" ns2:_="" ns3:_="" ns4:_="">
    <xsd:import namespace="5f032d97-5815-4021-87f6-3511a70699a4"/>
    <xsd:import namespace="$ListId:SharedDocuments;"/>
    <xsd:import namespace="f6635943-dd24-4038-9c1d-a59cb22f25ea"/>
    <xsd:element name="properties">
      <xsd:complexType>
        <xsd:sequence>
          <xsd:element name="documentManagement">
            <xsd:complexType>
              <xsd:all>
                <xsd:element ref="ns2:_dlc_DocId" minOccurs="0"/>
                <xsd:element ref="ns2:_dlc_DocIdUrl" minOccurs="0"/>
                <xsd:element ref="ns2:_dlc_DocIdPersistId" minOccurs="0"/>
                <xsd:element ref="ns3:j4c6bab879da40ec9ff98e9515e465f3" minOccurs="0"/>
                <xsd:element ref="ns2:TaxCatchAll" minOccurs="0"/>
                <xsd:element ref="ns3:k158a365d30042c1baeccd98745bf3ee" minOccurs="0"/>
                <xsd:element ref="ns3:e83e84e497c24859aa3e1613e6f53f8a" minOccurs="0"/>
                <xsd:element ref="ns4:g7aefdda48c245b2b0fc7c5f7193b21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032d97-5815-4021-87f6-3511a70699a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3" nillable="true" ma:displayName="Taxonomy Catch All Column" ma:description="" ma:hidden="true" ma:list="{ccf2c0bf-ff3f-4123-8f71-0056d45ec6bd}" ma:internalName="TaxCatchAll" ma:showField="CatchAllData" ma:web="5f032d97-5815-4021-87f6-3511a70699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ListId:SharedDocuments;" elementFormDefault="qualified">
    <xsd:import namespace="http://schemas.microsoft.com/office/2006/documentManagement/types"/>
    <xsd:import namespace="http://schemas.microsoft.com/office/infopath/2007/PartnerControls"/>
    <xsd:element name="j4c6bab879da40ec9ff98e9515e465f3" ma:index="12" nillable="true" ma:taxonomy="true" ma:internalName="j4c6bab879da40ec9ff98e9515e465f3" ma:taxonomyFieldName="Doc_x0020_Type" ma:displayName="Doc Type" ma:default="" ma:fieldId="{34c6bab8-79da-40ec-9ff9-8e9515e465f3}" ma:sspId="d277a3b9-df29-4fe2-988c-ead875e1bfaa" ma:termSetId="2eb3fac6-a6fc-4102-ad44-b3370a3bb49a" ma:anchorId="00000000-0000-0000-0000-000000000000" ma:open="false" ma:isKeyword="false">
      <xsd:complexType>
        <xsd:sequence>
          <xsd:element ref="pc:Terms" minOccurs="0" maxOccurs="1"/>
        </xsd:sequence>
      </xsd:complexType>
    </xsd:element>
    <xsd:element name="k158a365d30042c1baeccd98745bf3ee" ma:index="15" nillable="true" ma:taxonomy="true" ma:internalName="k158a365d30042c1baeccd98745bf3ee" ma:taxonomyFieldName="Meeting_x0020_Type" ma:displayName="Meeting Type" ma:default="" ma:fieldId="{4158a365-d300-42c1-baec-cd98745bf3ee}" ma:sspId="d277a3b9-df29-4fe2-988c-ead875e1bfaa" ma:termSetId="280b3808-25c8-4e4d-aedf-546bb12ec1c9" ma:anchorId="00000000-0000-0000-0000-000000000000" ma:open="false" ma:isKeyword="false">
      <xsd:complexType>
        <xsd:sequence>
          <xsd:element ref="pc:Terms" minOccurs="0" maxOccurs="1"/>
        </xsd:sequence>
      </xsd:complexType>
    </xsd:element>
    <xsd:element name="e83e84e497c24859aa3e1613e6f53f8a" ma:index="17" nillable="true" ma:taxonomy="true" ma:internalName="e83e84e497c24859aa3e1613e6f53f8a" ma:taxonomyFieldName="Keywords" ma:displayName="Keywords" ma:readOnly="false" ma:default="" ma:fieldId="{e83e84e4-97c2-4859-aa3e-1613e6f53f8a}" ma:taxonomyMulti="true" ma:sspId="d277a3b9-df29-4fe2-988c-ead875e1bfaa" ma:termSetId="53347220-d115-4122-9fd4-deef1ba34d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6635943-dd24-4038-9c1d-a59cb22f25ea" elementFormDefault="qualified">
    <xsd:import namespace="http://schemas.microsoft.com/office/2006/documentManagement/types"/>
    <xsd:import namespace="http://schemas.microsoft.com/office/infopath/2007/PartnerControls"/>
    <xsd:element name="g7aefdda48c245b2b0fc7c5f7193b215" ma:index="19" nillable="true" ma:taxonomy="true" ma:internalName="g7aefdda48c245b2b0fc7c5f7193b215" ma:taxonomyFieldName="Project_x0020_Keywords" ma:displayName="Project Keywords" ma:default="" ma:fieldId="{07aefdda-48c2-45b2-b0fc-7c5f7193b215}" ma:sspId="d277a3b9-df29-4fe2-988c-ead875e1bfaa" ma:termSetId="5c749a20-6045-42b1-bb6d-ffaeab4f53d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6"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0A75FB-37D4-4508-A1BD-869A61A1F64E}">
  <ds:schemaRefs>
    <ds:schemaRef ds:uri="http://schemas.microsoft.com/sharepoint/v3/contenttype/forms"/>
  </ds:schemaRefs>
</ds:datastoreItem>
</file>

<file path=customXml/itemProps2.xml><?xml version="1.0" encoding="utf-8"?>
<ds:datastoreItem xmlns:ds="http://schemas.openxmlformats.org/officeDocument/2006/customXml" ds:itemID="{9BB5F696-7BB8-4AAF-A64E-43B30852A809}"/>
</file>

<file path=customXml/itemProps3.xml><?xml version="1.0" encoding="utf-8"?>
<ds:datastoreItem xmlns:ds="http://schemas.openxmlformats.org/officeDocument/2006/customXml" ds:itemID="{C61F6C75-8673-4347-AC7B-653132FE9C5E}">
  <ds:schemaRefs>
    <ds:schemaRef ds:uri="http://purl.org/dc/terms/"/>
    <ds:schemaRef ds:uri="http://www.w3.org/XML/1998/namespace"/>
    <ds:schemaRef ds:uri="$ListId:SharedDocuments;"/>
    <ds:schemaRef ds:uri="http://purl.org/dc/dcmitype/"/>
    <ds:schemaRef ds:uri="http://purl.org/dc/elements/1.1/"/>
    <ds:schemaRef ds:uri="5f032d97-5815-4021-87f6-3511a70699a4"/>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f6635943-dd24-4038-9c1d-a59cb22f25ea"/>
  </ds:schemaRefs>
</ds:datastoreItem>
</file>

<file path=customXml/itemProps4.xml><?xml version="1.0" encoding="utf-8"?>
<ds:datastoreItem xmlns:ds="http://schemas.openxmlformats.org/officeDocument/2006/customXml" ds:itemID="{C6721AAE-7CD0-445C-92A0-D9F5B4FB1C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032d97-5815-4021-87f6-3511a70699a4"/>
    <ds:schemaRef ds:uri="$ListId:SharedDocuments;"/>
    <ds:schemaRef ds:uri="f6635943-dd24-4038-9c1d-a59cb22f25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RatingLookup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McFarland, Rebecca</dc:creator>
  <cp:keywords>191;#Requirements|e45b554f-2091-4d13-9b38-6b4d144488b6</cp:keywords>
  <cp:lastModifiedBy>McFarland, Rebecca</cp:lastModifiedBy>
  <cp:lastPrinted>2016-11-14T14:17:24Z</cp:lastPrinted>
  <dcterms:created xsi:type="dcterms:W3CDTF">2016-07-06T17:04:13Z</dcterms:created>
  <dcterms:modified xsi:type="dcterms:W3CDTF">2016-11-14T15:19:53Z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0x0101006435D0BD408ACF46BC3778DF7D9C5A21</vt:lpwstr>
  </property>
  <property fmtid="{D5CDD505-2E9C-101B-9397-08002B2CF9AE}" pid="3" name="_dlc_DocIdItemGuid">
    <vt:lpwstr>b0da2310-d232-4929-8209-e1fff9ae0efc</vt:lpwstr>
  </property>
  <property fmtid="{D5CDD505-2E9C-101B-9397-08002B2CF9AE}" pid="4" name="Doc Type">
    <vt:lpwstr>180</vt:lpwstr>
  </property>
  <property fmtid="{D5CDD505-2E9C-101B-9397-08002B2CF9AE}" pid="5" name="MediaServiceImageTags">
    <vt:lpwstr/>
  </property>
</Properties>
</file>